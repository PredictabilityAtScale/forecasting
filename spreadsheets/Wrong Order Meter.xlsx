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troym\Dropbox\Private\GitHub\FocusedObjective.Resources\Spreadsheets\"/>
    </mc:Choice>
  </mc:AlternateContent>
  <xr:revisionPtr revIDLastSave="0" documentId="13_ncr:1_{2E792A44-D4CC-4450-AAD6-80E780BD3894}" xr6:coauthVersionLast="47" xr6:coauthVersionMax="47" xr10:uidLastSave="{00000000-0000-0000-0000-000000000000}"/>
  <bookViews>
    <workbookView xWindow="-98" yWindow="-98" windowWidth="28996" windowHeight="16395" xr2:uid="{1C6FAFF0-D929-4E99-8C3A-C6FF097B62E5}"/>
  </bookViews>
  <sheets>
    <sheet name="Work" sheetId="1" r:id="rId1"/>
    <sheet name="About me (more stuff like this)" sheetId="7" r:id="rId2"/>
    <sheet name="Calculations" sheetId="4" r:id="rId3"/>
    <sheet name="Speedometer chart calcs" sheetId="6" r:id="rId4"/>
  </sheets>
  <definedNames>
    <definedName name="MaxScore">Calculations!$J$3</definedName>
    <definedName name="MinScore">Calculations!$I$3</definedName>
    <definedName name="PlannedDeliveredCount">Calculations!$F$6</definedName>
    <definedName name="PlannedOnlyScore">Calculations!$G$3</definedName>
    <definedName name="Score">Calculations!$F$3</definedName>
    <definedName name="UnplannedDeleivredCount">Calculations!$G$6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6" l="1"/>
  <c r="K6" i="6"/>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D2" i="4" a="1"/>
  <c r="D2" i="4" s="1"/>
  <c r="B2" i="4" l="1" a="1"/>
  <c r="B2" i="4" s="1"/>
  <c r="A2" i="4" a="1"/>
  <c r="C8" i="4" s="1"/>
  <c r="A2" i="4" l="1"/>
  <c r="C2" i="4" s="1"/>
  <c r="C7" i="4"/>
  <c r="C4" i="4"/>
  <c r="C6" i="4"/>
  <c r="C3" i="4"/>
  <c r="C5" i="4"/>
  <c r="G6" i="4"/>
  <c r="F6" i="4"/>
  <c r="J3" i="4" l="1"/>
  <c r="T3" i="6" s="1"/>
  <c r="G3" i="4"/>
  <c r="D4" i="1" s="1"/>
  <c r="F3" i="4"/>
  <c r="N3" i="6" l="1"/>
  <c r="N5" i="6"/>
  <c r="N8" i="6"/>
  <c r="N11" i="6"/>
  <c r="M2" i="6"/>
  <c r="M3" i="6" s="1"/>
  <c r="M4" i="6" s="1"/>
  <c r="M5" i="6" s="1"/>
  <c r="M6" i="6" s="1"/>
  <c r="M7" i="6" s="1"/>
  <c r="M8" i="6" s="1"/>
  <c r="M9" i="6" s="1"/>
  <c r="M10" i="6" s="1"/>
  <c r="M11" i="6" s="1"/>
  <c r="N4" i="6"/>
  <c r="N6" i="6"/>
  <c r="N2" i="6"/>
  <c r="N7" i="6"/>
  <c r="N9" i="6"/>
  <c r="N10" i="6"/>
  <c r="F4" i="1"/>
  <c r="Q2" i="6"/>
  <c r="T4" i="6" s="1"/>
  <c r="Q4" i="6" s="1"/>
  <c r="N12"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<sst xmlns="http://schemas.openxmlformats.org/spreadsheetml/2006/main" count="69" uniqueCount="60">
  <si>
    <t>Planned Order</t>
  </si>
  <si>
    <t>Delivered Order</t>
  </si>
  <si>
    <t>Feature 1</t>
  </si>
  <si>
    <t>Feature 2</t>
  </si>
  <si>
    <t>Feature 3</t>
  </si>
  <si>
    <t>Feature 4</t>
  </si>
  <si>
    <t>Feature 5</t>
  </si>
  <si>
    <t>Wrong order-o-meter score</t>
  </si>
  <si>
    <t>Planned / Unplanned</t>
  </si>
  <si>
    <t>Score with unplanned</t>
  </si>
  <si>
    <t>Score without unplanned</t>
  </si>
  <si>
    <t>Planned only</t>
  </si>
  <si>
    <t>With Unplanned</t>
  </si>
  <si>
    <t>intendedorder</t>
  </si>
  <si>
    <t>penalty delivered</t>
  </si>
  <si>
    <t>penalty not delivered</t>
  </si>
  <si>
    <t>Planned count</t>
  </si>
  <si>
    <t>Unplanned count</t>
  </si>
  <si>
    <t>min</t>
  </si>
  <si>
    <t>max</t>
  </si>
  <si>
    <t>Performance Label</t>
  </si>
  <si>
    <t>Poor</t>
  </si>
  <si>
    <t>Good</t>
  </si>
  <si>
    <t>Total</t>
  </si>
  <si>
    <t>Value</t>
  </si>
  <si>
    <t>Pointer</t>
  </si>
  <si>
    <t>Thickness</t>
  </si>
  <si>
    <t>Rest</t>
  </si>
  <si>
    <t>Labels</t>
  </si>
  <si>
    <t>Values</t>
  </si>
  <si>
    <t>Min Value</t>
  </si>
  <si>
    <t>Max value</t>
  </si>
  <si>
    <t>Bad</t>
  </si>
  <si>
    <t>Duplicate item errors are highlighted in red.</t>
  </si>
  <si>
    <t>Unplanned feature 1</t>
  </si>
  <si>
    <t>Feature 6</t>
  </si>
  <si>
    <t>Contact ME</t>
  </si>
  <si>
    <t>Email: troy.magennis@focusedobjective.com</t>
  </si>
  <si>
    <t>Twitter: @t_magennis</t>
  </si>
  <si>
    <t>LinkedIn: https://www.linkedin.com/in/troymagennis</t>
  </si>
  <si>
    <t>Schedule a call: https://freebusy.io/data/data</t>
  </si>
  <si>
    <t>FocusedObjective.com - Forecasting and Metrics Consulting and Training</t>
  </si>
  <si>
    <t>Online Calculators</t>
  </si>
  <si>
    <t>Here is a set of online articles that help understand the mathematics behind Agile. We add to these all the time and would like to hear ideas you have for more.</t>
  </si>
  <si>
    <t>Introduction to Monte Carlo Simulation and Forecasting</t>
  </si>
  <si>
    <t>How much improvement do I get by adding more teams or people?</t>
  </si>
  <si>
    <t>Story Point Velocity or Throughput Forecasting - Does it matter?</t>
  </si>
  <si>
    <t>Understanding Optimal Batch Size</t>
  </si>
  <si>
    <t>How Does Utilization Impact Lead-time of Work?</t>
  </si>
  <si>
    <t>Impact of Multiple Team Dependencies in Software Development</t>
  </si>
  <si>
    <t>MORE - Agile data notebooks and calculator articles...</t>
  </si>
  <si>
    <t>Forecasting and Metric Spreadsheets</t>
  </si>
  <si>
    <t>To be honest, you probably know us because of our spreadsheet tools. Thats OK, but now consider training :)</t>
  </si>
  <si>
    <t>Multiple Feature Cut Line Forecaster: I want to forecast multiple features at once</t>
  </si>
  <si>
    <t>Team Dashboard: I want to quickly create an team dashboard</t>
  </si>
  <si>
    <t>Skill and Capability Survey and Matrix: I want to quickly survey teams to understand skill constraints</t>
  </si>
  <si>
    <t>Time Series Forecasting for Demand</t>
  </si>
  <si>
    <t>MORE - A lot more on our GitHub repo ....</t>
  </si>
  <si>
    <t>Great</t>
  </si>
  <si>
    <t>Duplicate example (make names 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</si>
</sst>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
      <b/>
      <sz val="12"/>
      <color theme="1"/>
      <name val="Calibri"/>
      <family val="2"/>
      <scheme val="minor"/>
    </font>
    <font>
      <b/>
      <sz val="11"/>
      <color rgb="FFFA7D00"/>
      <name val="Calibri"/>
      <family val="2"/>
      <scheme val="minor"/>
    </font>
    <font>
      <b/>
      <sz val="15"/>
      <color theme="3"/>
      <name val="Calibri"/>
      <family val="2"/>
      <scheme val="minor"/>
    </font>
    <font>
      <b/>
      <sz val="11"/>
      <color theme="0"/>
      <name val="Calibri"/>
      <family val="2"/>
      <scheme val="minor"/>
    </font>
    <font>
      <u/>
      <sz val="11"/>
      <color theme="10"/>
      <name val="Calibri"/>
      <family val="2"/>
      <scheme val="minor"/>
    </font>
    <font>
      <sz val="14"/>
      <color theme="1"/>
      <name val="Calibri"/>
      <family val="2"/>
      <scheme val="minor"/>
    </font>
    <font>
      <u/>
      <sz val="14"/>
      <color theme="10"/>
      <name val="Calibri"/>
      <family val="2"/>
      <scheme val="minor"/>
    </font>
    <font>
      <sz val="11"/>
      <color rgb="FF626262"/>
      <name val="Open Sans"/>
      <family val="2"/>
    </font>
  </fonts>
  <fills count="8">
    <fill>
      <patternFill patternType="none"/>
    </fill>
    <fill>
      <patternFill patternType="gray125"/>
    </fill>
    <fill>
      <patternFill patternType="solid">
        <fgColor rgb="FFF2F2F2"/>
      </patternFill>
    </fill>
    <fill>
      <patternFill patternType="solid">
        <fgColor theme="4"/>
        <bgColor theme="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ABAB"/>
        <bgColor indexed="64"/>
      </patternFill>
    </fill>
  </fills>
  <borders count="8">
    <border>
      <left/>
      <right/>
      <top/>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2" borderId="1" applyNumberFormat="0" applyAlignment="0" applyProtection="0"/>
    <xf numFmtId="0" fontId="6" fillId="0" borderId="2" applyNumberFormat="0" applyFill="0" applyAlignment="0" applyProtection="0"/>
    <xf numFmtId="0" fontId="8" fillId="0" borderId="0" applyNumberFormat="0" applyFill="0" applyBorder="0" applyAlignment="0" applyProtection="0"/>
  </cellStyleXfs>
  <cellXfs count="24">
    <xf numFmtId="0" fontId="0" fillId="0" borderId="0" xfId="0"/>
    <xf numFmtId="0" fontId="3" fillId="0" borderId="0" xfId="0" applyFont="1"/>
    <xf numFmtId="0" fontId="4" fillId="0" borderId="0" xfId="0" applyFont="1"/>
    <xf numFmtId="0" fontId="1" fillId="0" borderId="0" xfId="0" applyFont="1"/>
    <xf numFmtId="0" fontId="5" fillId="2" borderId="1" xfId="1"/>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3" xfId="0" applyFont="1" applyFill="1" applyBorder="1" applyAlignment="1">
      <alignment horizontal="left" vertical="center"/>
    </xf>
    <xf numFmtId="0" fontId="0" fillId="0" borderId="5" xfId="0" applyBorder="1" applyAlignment="1">
      <alignment horizontal="center"/>
    </xf>
    <xf numFmtId="0" fontId="0" fillId="0" borderId="6" xfId="0" applyBorder="1" applyAlignment="1">
      <alignment horizontal="center"/>
    </xf>
    <xf numFmtId="0" fontId="1" fillId="4" borderId="7" xfId="0" applyFont="1" applyFill="1" applyBorder="1"/>
    <xf numFmtId="0" fontId="0" fillId="4" borderId="7" xfId="0" applyFill="1" applyBorder="1"/>
    <xf numFmtId="0" fontId="1" fillId="5" borderId="7" xfId="0" applyFont="1" applyFill="1" applyBorder="1"/>
    <xf numFmtId="0" fontId="0" fillId="5" borderId="7" xfId="0" applyFill="1" applyBorder="1"/>
    <xf numFmtId="0" fontId="1" fillId="6" borderId="7" xfId="0" applyFont="1" applyFill="1" applyBorder="1"/>
    <xf numFmtId="0" fontId="0" fillId="6" borderId="7" xfId="0" applyFill="1" applyBorder="1"/>
    <xf numFmtId="0" fontId="0" fillId="7" borderId="0" xfId="0" applyFill="1"/>
    <xf numFmtId="0" fontId="6" fillId="0" borderId="2" xfId="2"/>
    <xf numFmtId="0" fontId="9" fillId="0" borderId="0" xfId="0" applyFont="1"/>
    <xf numFmtId="0" fontId="10" fillId="0" borderId="0" xfId="3" applyFont="1"/>
    <xf numFmtId="0" fontId="10" fillId="0" borderId="0" xfId="3" applyFont="1" applyAlignment="1">
      <alignment horizontal="left" vertical="center" wrapText="1"/>
    </xf>
    <xf numFmtId="0" fontId="6" fillId="0" borderId="2" xfId="2" applyAlignment="1">
      <alignment horizontal="left" vertical="center" wrapText="1"/>
    </xf>
    <xf numFmtId="0" fontId="11" fillId="0" borderId="0" xfId="0" applyFont="1" applyAlignment="1">
      <alignment horizontal="left" vertical="center" wrapText="1"/>
    </xf>
    <xf numFmtId="0" fontId="8" fillId="0" borderId="0" xfId="3" applyAlignment="1">
      <alignment horizontal="left" vertical="center" wrapText="1"/>
    </xf>
  </cellXfs>
  <cellStyles count="4">
    <cellStyle name="Calculation" xfId="1" builtinId="22"/>
    <cellStyle name="Heading 1" xfId="2" builtinId="16"/>
    <cellStyle name="Hyperlink" xfId="3"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AB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Planned versus Unplanned Delivered Work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3E-4EBE-8CF8-6E973123BC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3E-4EBE-8CF8-6E973123BC7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Calculations!$F$5:$G$5</c:f>
              <c:strCache>
                <c:ptCount val="2"/>
                <c:pt idx="0">
                  <c:v>Planned count</c:v>
                </c:pt>
                <c:pt idx="1">
                  <c:v>Unplanned count</c:v>
                </c:pt>
              </c:strCache>
            </c:strRef>
          </c:cat>
          <c:val>
            <c:numRef>
              <c:f>Calculations!$F$6:$G$6</c:f>
              <c:numCache>
                <c:formatCode>General</c:formatCode>
                <c:ptCount val="2"/>
                <c:pt idx="0">
                  <c:v>4</c:v>
                </c:pt>
                <c:pt idx="1">
                  <c:v>3</c:v>
                </c:pt>
              </c:numCache>
            </c:numRef>
          </c:val>
          <c:extLst>
            <c:ext xmlns:c16="http://schemas.microsoft.com/office/drawing/2014/chart" uri="{C3380CC4-5D6E-409C-BE32-E72D297353CC}">
              <c16:uniqueId val="{00000004-DE3E-4EBE-8CF8-6E973123BC73}"/>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Wrong- Order-O-Meter</a:t>
            </a:r>
            <a:br>
              <a:rPr lang="en-US"/>
            </a:br>
            <a:r>
              <a:rPr lang="en-US"/>
              <a:t>(for all work, planned and unplanned)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2"/>
          <c:order val="2"/>
          <c:tx>
            <c:v>Pointer</c:v>
          </c:tx>
          <c:spPr>
            <a:ln>
              <a:noFill/>
            </a:ln>
          </c:spPr>
          <c:dPt>
            <c:idx val="0"/>
            <c:bubble3D val="0"/>
            <c:spPr>
              <a:noFill/>
              <a:ln w="19050">
                <a:noFill/>
              </a:ln>
              <a:effectLst/>
            </c:spPr>
            <c:extLst>
              <c:ext xmlns:c16="http://schemas.microsoft.com/office/drawing/2014/chart" uri="{C3380CC4-5D6E-409C-BE32-E72D297353CC}">
                <c16:uniqueId val="{00000001-82C7-4051-BB84-9AA12F19A836}"/>
              </c:ext>
            </c:extLst>
          </c:dPt>
          <c:dPt>
            <c:idx val="1"/>
            <c:bubble3D val="0"/>
            <c:explosion val="5"/>
            <c:spPr>
              <a:solidFill>
                <a:schemeClr val="accent1">
                  <a:lumMod val="75000"/>
                </a:schemeClr>
              </a:solidFill>
              <a:ln w="50800">
                <a:noFill/>
              </a:ln>
              <a:effectLst/>
            </c:spPr>
            <c:extLst>
              <c:ext xmlns:c16="http://schemas.microsoft.com/office/drawing/2014/chart" uri="{C3380CC4-5D6E-409C-BE32-E72D297353CC}">
                <c16:uniqueId val="{00000003-82C7-4051-BB84-9AA12F19A836}"/>
              </c:ext>
            </c:extLst>
          </c:dPt>
          <c:dPt>
            <c:idx val="2"/>
            <c:bubble3D val="0"/>
            <c:spPr>
              <a:noFill/>
              <a:ln w="19050">
                <a:noFill/>
              </a:ln>
              <a:effectLst/>
            </c:spPr>
            <c:extLst>
              <c:ext xmlns:c16="http://schemas.microsoft.com/office/drawing/2014/chart" uri="{C3380CC4-5D6E-409C-BE32-E72D297353CC}">
                <c16:uniqueId val="{00000005-82C7-4051-BB84-9AA12F19A836}"/>
              </c:ext>
            </c:extLst>
          </c:dPt>
          <c:val>
            <c:numRef>
              <c:f>'Speedometer chart calcs'!$Q$2:$Q$4</c:f>
              <c:numCache>
                <c:formatCode>General</c:formatCode>
                <c:ptCount val="3"/>
                <c:pt idx="0">
                  <c:v>38</c:v>
                </c:pt>
                <c:pt idx="1">
                  <c:v>1</c:v>
                </c:pt>
                <c:pt idx="2">
                  <c:v>143</c:v>
                </c:pt>
              </c:numCache>
            </c:numRef>
          </c:val>
          <c:extLst>
            <c:ext xmlns:c16="http://schemas.microsoft.com/office/drawing/2014/chart" uri="{C3380CC4-5D6E-409C-BE32-E72D297353CC}">
              <c16:uniqueId val="{00000006-82C7-4051-BB84-9AA12F19A836}"/>
            </c:ext>
          </c:extLst>
        </c:ser>
        <c:dLbls>
          <c:showLegendKey val="0"/>
          <c:showVal val="0"/>
          <c:showCatName val="0"/>
          <c:showSerName val="0"/>
          <c:showPercent val="0"/>
          <c:showBubbleSize val="0"/>
          <c:showLeaderLines val="1"/>
        </c:dLbls>
        <c:firstSliceAng val="270"/>
      </c:pieChart>
      <c:doughnutChart>
        <c:varyColors val="1"/>
        <c:ser>
          <c:idx val="0"/>
          <c:order val="0"/>
          <c:tx>
            <c:v>Category</c:v>
          </c:tx>
          <c:spPr>
            <a:ln>
              <a:noFill/>
            </a:ln>
          </c:spPr>
          <c:dPt>
            <c:idx val="0"/>
            <c:bubble3D val="0"/>
            <c:spPr>
              <a:solidFill>
                <a:schemeClr val="accent1">
                  <a:alpha val="70000"/>
                </a:schemeClr>
              </a:solidFill>
              <a:ln w="9525">
                <a:noFill/>
              </a:ln>
              <a:effectLst/>
            </c:spPr>
            <c:extLst>
              <c:ext xmlns:c16="http://schemas.microsoft.com/office/drawing/2014/chart" uri="{C3380CC4-5D6E-409C-BE32-E72D297353CC}">
                <c16:uniqueId val="{00000008-82C7-4051-BB84-9AA12F19A836}"/>
              </c:ext>
            </c:extLst>
          </c:dPt>
          <c:dPt>
            <c:idx val="1"/>
            <c:bubble3D val="0"/>
            <c:spPr>
              <a:solidFill>
                <a:schemeClr val="accent5">
                  <a:alpha val="72000"/>
                </a:schemeClr>
              </a:solidFill>
              <a:ln w="9525">
                <a:noFill/>
              </a:ln>
              <a:effectLst/>
            </c:spPr>
            <c:extLst>
              <c:ext xmlns:c16="http://schemas.microsoft.com/office/drawing/2014/chart" uri="{C3380CC4-5D6E-409C-BE32-E72D297353CC}">
                <c16:uniqueId val="{0000000A-82C7-4051-BB84-9AA12F19A836}"/>
              </c:ext>
            </c:extLst>
          </c:dPt>
          <c:dPt>
            <c:idx val="2"/>
            <c:bubble3D val="0"/>
            <c:spPr>
              <a:solidFill>
                <a:schemeClr val="accent4">
                  <a:alpha val="70000"/>
                </a:schemeClr>
              </a:solidFill>
              <a:ln w="9525">
                <a:noFill/>
              </a:ln>
              <a:effectLst/>
            </c:spPr>
            <c:extLst>
              <c:ext xmlns:c16="http://schemas.microsoft.com/office/drawing/2014/chart" uri="{C3380CC4-5D6E-409C-BE32-E72D297353CC}">
                <c16:uniqueId val="{0000000C-82C7-4051-BB84-9AA12F19A836}"/>
              </c:ext>
            </c:extLst>
          </c:dPt>
          <c:dPt>
            <c:idx val="3"/>
            <c:bubble3D val="0"/>
            <c:spPr>
              <a:solidFill>
                <a:schemeClr val="accent2">
                  <a:alpha val="70000"/>
                </a:schemeClr>
              </a:solidFill>
              <a:ln w="9525">
                <a:noFill/>
              </a:ln>
              <a:effectLst/>
            </c:spPr>
            <c:extLst>
              <c:ext xmlns:c16="http://schemas.microsoft.com/office/drawing/2014/chart" uri="{C3380CC4-5D6E-409C-BE32-E72D297353CC}">
                <c16:uniqueId val="{0000000E-82C7-4051-BB84-9AA12F19A836}"/>
              </c:ext>
            </c:extLst>
          </c:dPt>
          <c:dPt>
            <c:idx val="4"/>
            <c:bubble3D val="0"/>
            <c:spPr>
              <a:noFill/>
              <a:ln w="19050">
                <a:noFill/>
              </a:ln>
              <a:effectLst/>
            </c:spPr>
            <c:extLst>
              <c:ext xmlns:c16="http://schemas.microsoft.com/office/drawing/2014/chart" uri="{C3380CC4-5D6E-409C-BE32-E72D297353CC}">
                <c16:uniqueId val="{00000010-82C7-4051-BB84-9AA12F19A836}"/>
              </c:ext>
            </c:extLst>
          </c:dPt>
          <c:dLbls>
            <c:dLbl>
              <c:idx val="0"/>
              <c:tx>
                <c:rich>
                  <a:bodyPr/>
                  <a:lstStyle/>
                  <a:p>
                    <a:fld id="{5A4B9AED-F75D-4880-B107-59B5EC3485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2C7-4051-BB84-9AA12F19A836}"/>
                </c:ext>
              </c:extLst>
            </c:dLbl>
            <c:dLbl>
              <c:idx val="1"/>
              <c:tx>
                <c:rich>
                  <a:bodyPr/>
                  <a:lstStyle/>
                  <a:p>
                    <a:fld id="{E2D51240-21F6-4B5A-8B65-A6FF6D76A4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2C7-4051-BB84-9AA12F19A836}"/>
                </c:ext>
              </c:extLst>
            </c:dLbl>
            <c:dLbl>
              <c:idx val="2"/>
              <c:tx>
                <c:rich>
                  <a:bodyPr/>
                  <a:lstStyle/>
                  <a:p>
                    <a:fld id="{9340F7E3-F4B4-4AEF-B474-518F0224D9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2C7-4051-BB84-9AA12F19A836}"/>
                </c:ext>
              </c:extLst>
            </c:dLbl>
            <c:dLbl>
              <c:idx val="3"/>
              <c:tx>
                <c:rich>
                  <a:bodyPr/>
                  <a:lstStyle/>
                  <a:p>
                    <a:fld id="{87DED5D3-9D4D-48EE-82AC-03C276CEC8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2C7-4051-BB84-9AA12F19A836}"/>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2C7-4051-BB84-9AA12F19A83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val>
            <c:numRef>
              <c:f>'Speedometer chart calcs'!$K$2:$K$6</c:f>
              <c:numCache>
                <c:formatCode>General</c:formatCode>
                <c:ptCount val="5"/>
                <c:pt idx="0">
                  <c:v>20</c:v>
                </c:pt>
                <c:pt idx="1">
                  <c:v>30</c:v>
                </c:pt>
                <c:pt idx="2">
                  <c:v>30</c:v>
                </c:pt>
                <c:pt idx="3">
                  <c:v>20</c:v>
                </c:pt>
                <c:pt idx="4">
                  <c:v>100</c:v>
                </c:pt>
              </c:numCache>
            </c:numRef>
          </c:val>
          <c:extLst>
            <c:ext xmlns:c15="http://schemas.microsoft.com/office/drawing/2012/chart" uri="{02D57815-91ED-43cb-92C2-25804820EDAC}">
              <c15:datalabelsRange>
                <c15:f>'Speedometer chart calcs'!$J$2:$J$6</c15:f>
                <c15:dlblRangeCache>
                  <c:ptCount val="5"/>
                  <c:pt idx="0">
                    <c:v>Great</c:v>
                  </c:pt>
                  <c:pt idx="1">
                    <c:v>Good</c:v>
                  </c:pt>
                  <c:pt idx="2">
                    <c:v>Bad</c:v>
                  </c:pt>
                  <c:pt idx="3">
                    <c:v>Poor</c:v>
                  </c:pt>
                  <c:pt idx="4">
                    <c:v>Total</c:v>
                  </c:pt>
                </c15:dlblRangeCache>
              </c15:datalabelsRange>
            </c:ext>
            <c:ext xmlns:c16="http://schemas.microsoft.com/office/drawing/2014/chart" uri="{C3380CC4-5D6E-409C-BE32-E72D297353CC}">
              <c16:uniqueId val="{00000011-82C7-4051-BB84-9AA12F19A836}"/>
            </c:ext>
          </c:extLst>
        </c:ser>
        <c:ser>
          <c:idx val="1"/>
          <c:order val="1"/>
          <c:tx>
            <c:v>Label</c:v>
          </c:tx>
          <c:spPr>
            <a:solidFill>
              <a:schemeClr val="tx1">
                <a:lumMod val="50000"/>
                <a:lumOff val="50000"/>
                <a:alpha val="40000"/>
              </a:schemeClr>
            </a:solidFill>
            <a:ln>
              <a:noFill/>
            </a:ln>
          </c:spPr>
          <c:dPt>
            <c:idx val="0"/>
            <c:bubble3D val="0"/>
            <c:spPr>
              <a:solidFill>
                <a:schemeClr val="bg1">
                  <a:lumMod val="75000"/>
                  <a:alpha val="40000"/>
                </a:schemeClr>
              </a:solidFill>
              <a:ln w="9525">
                <a:noFill/>
              </a:ln>
              <a:effectLst/>
            </c:spPr>
            <c:extLst>
              <c:ext xmlns:c16="http://schemas.microsoft.com/office/drawing/2014/chart" uri="{C3380CC4-5D6E-409C-BE32-E72D297353CC}">
                <c16:uniqueId val="{00000013-82C7-4051-BB84-9AA12F19A836}"/>
              </c:ext>
            </c:extLst>
          </c:dPt>
          <c:dPt>
            <c:idx val="1"/>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15-82C7-4051-BB84-9AA12F19A836}"/>
              </c:ext>
            </c:extLst>
          </c:dPt>
          <c:dPt>
            <c:idx val="2"/>
            <c:bubble3D val="0"/>
            <c:spPr>
              <a:solidFill>
                <a:schemeClr val="bg1">
                  <a:lumMod val="85000"/>
                  <a:alpha val="40000"/>
                </a:schemeClr>
              </a:solidFill>
              <a:ln w="9525">
                <a:noFill/>
              </a:ln>
              <a:effectLst/>
            </c:spPr>
            <c:extLst>
              <c:ext xmlns:c16="http://schemas.microsoft.com/office/drawing/2014/chart" uri="{C3380CC4-5D6E-409C-BE32-E72D297353CC}">
                <c16:uniqueId val="{00000017-82C7-4051-BB84-9AA12F19A836}"/>
              </c:ext>
            </c:extLst>
          </c:dPt>
          <c:dPt>
            <c:idx val="3"/>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19-82C7-4051-BB84-9AA12F19A836}"/>
              </c:ext>
            </c:extLst>
          </c:dPt>
          <c:dPt>
            <c:idx val="4"/>
            <c:bubble3D val="0"/>
            <c:spPr>
              <a:solidFill>
                <a:schemeClr val="bg1">
                  <a:lumMod val="75000"/>
                  <a:alpha val="40000"/>
                </a:schemeClr>
              </a:solidFill>
              <a:ln w="9525">
                <a:noFill/>
              </a:ln>
              <a:effectLst/>
            </c:spPr>
            <c:extLst>
              <c:ext xmlns:c16="http://schemas.microsoft.com/office/drawing/2014/chart" uri="{C3380CC4-5D6E-409C-BE32-E72D297353CC}">
                <c16:uniqueId val="{0000001B-82C7-4051-BB84-9AA12F19A836}"/>
              </c:ext>
            </c:extLst>
          </c:dPt>
          <c:dPt>
            <c:idx val="5"/>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1D-82C7-4051-BB84-9AA12F19A836}"/>
              </c:ext>
            </c:extLst>
          </c:dPt>
          <c:dPt>
            <c:idx val="6"/>
            <c:bubble3D val="0"/>
            <c:spPr>
              <a:solidFill>
                <a:schemeClr val="bg1">
                  <a:lumMod val="75000"/>
                  <a:alpha val="40000"/>
                </a:schemeClr>
              </a:solidFill>
              <a:ln w="9525">
                <a:noFill/>
              </a:ln>
              <a:effectLst/>
            </c:spPr>
            <c:extLst>
              <c:ext xmlns:c16="http://schemas.microsoft.com/office/drawing/2014/chart" uri="{C3380CC4-5D6E-409C-BE32-E72D297353CC}">
                <c16:uniqueId val="{0000001F-82C7-4051-BB84-9AA12F19A836}"/>
              </c:ext>
            </c:extLst>
          </c:dPt>
          <c:dPt>
            <c:idx val="7"/>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21-82C7-4051-BB84-9AA12F19A836}"/>
              </c:ext>
            </c:extLst>
          </c:dPt>
          <c:dPt>
            <c:idx val="8"/>
            <c:bubble3D val="0"/>
            <c:spPr>
              <a:solidFill>
                <a:schemeClr val="bg1">
                  <a:lumMod val="75000"/>
                  <a:alpha val="40000"/>
                </a:schemeClr>
              </a:solidFill>
              <a:ln w="9525">
                <a:noFill/>
              </a:ln>
              <a:effectLst/>
            </c:spPr>
            <c:extLst>
              <c:ext xmlns:c16="http://schemas.microsoft.com/office/drawing/2014/chart" uri="{C3380CC4-5D6E-409C-BE32-E72D297353CC}">
                <c16:uniqueId val="{00000023-82C7-4051-BB84-9AA12F19A836}"/>
              </c:ext>
            </c:extLst>
          </c:dPt>
          <c:dPt>
            <c:idx val="9"/>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25-82C7-4051-BB84-9AA12F19A836}"/>
              </c:ext>
            </c:extLst>
          </c:dPt>
          <c:dPt>
            <c:idx val="10"/>
            <c:bubble3D val="0"/>
            <c:spPr>
              <a:noFill/>
              <a:ln w="19050">
                <a:noFill/>
              </a:ln>
              <a:effectLst/>
            </c:spPr>
            <c:extLst>
              <c:ext xmlns:c16="http://schemas.microsoft.com/office/drawing/2014/chart" uri="{C3380CC4-5D6E-409C-BE32-E72D297353CC}">
                <c16:uniqueId val="{00000027-82C7-4051-BB84-9AA12F19A836}"/>
              </c:ext>
            </c:extLst>
          </c:dPt>
          <c:dLbls>
            <c:dLbl>
              <c:idx val="0"/>
              <c:layout>
                <c:manualLayout>
                  <c:x val="-4.9733570159857902E-2"/>
                  <c:y val="-7.7317979322006514E-2"/>
                </c:manualLayout>
              </c:layout>
              <c:tx>
                <c:rich>
                  <a:bodyPr/>
                  <a:lstStyle/>
                  <a:p>
                    <a:fld id="{DE27B836-607D-42CA-AD1C-2407B6EB5A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82C7-4051-BB84-9AA12F19A836}"/>
                </c:ext>
              </c:extLst>
            </c:dLbl>
            <c:dLbl>
              <c:idx val="1"/>
              <c:layout>
                <c:manualLayout>
                  <c:x val="-1.8946121965660152E-2"/>
                  <c:y val="-8.6982726737257418E-2"/>
                </c:manualLayout>
              </c:layout>
              <c:tx>
                <c:rich>
                  <a:bodyPr/>
                  <a:lstStyle/>
                  <a:p>
                    <a:fld id="{BA601C42-1034-4B97-9398-8652D352F6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82C7-4051-BB84-9AA12F19A836}"/>
                </c:ext>
              </c:extLst>
            </c:dLbl>
            <c:dLbl>
              <c:idx val="2"/>
              <c:layout>
                <c:manualLayout>
                  <c:x val="0"/>
                  <c:y val="-8.6982726737257376E-2"/>
                </c:manualLayout>
              </c:layout>
              <c:tx>
                <c:rich>
                  <a:bodyPr/>
                  <a:lstStyle/>
                  <a:p>
                    <a:fld id="{4595B876-D55D-4355-830F-C72D604F1A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82C7-4051-BB84-9AA12F19A836}"/>
                </c:ext>
              </c:extLst>
            </c:dLbl>
            <c:dLbl>
              <c:idx val="3"/>
              <c:layout>
                <c:manualLayout>
                  <c:x val="3.3155713439905268E-2"/>
                  <c:y val="-7.9734166175819271E-2"/>
                </c:manualLayout>
              </c:layout>
              <c:tx>
                <c:rich>
                  <a:bodyPr/>
                  <a:lstStyle/>
                  <a:p>
                    <a:fld id="{F0D4E5F2-F94B-4D96-A1B0-A97526565C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82C7-4051-BB84-9AA12F19A836}"/>
                </c:ext>
              </c:extLst>
            </c:dLbl>
            <c:dLbl>
              <c:idx val="4"/>
              <c:layout>
                <c:manualLayout>
                  <c:x val="6.15748963883955E-2"/>
                  <c:y val="-6.7653231906755734E-2"/>
                </c:manualLayout>
              </c:layout>
              <c:tx>
                <c:rich>
                  <a:bodyPr/>
                  <a:lstStyle/>
                  <a:p>
                    <a:fld id="{D4C9D6BA-EB57-4F3A-98E3-1F763FA0AF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82C7-4051-BB84-9AA12F19A836}"/>
                </c:ext>
              </c:extLst>
            </c:dLbl>
            <c:dLbl>
              <c:idx val="5"/>
              <c:layout>
                <c:manualLayout>
                  <c:x val="8.5257548845470613E-2"/>
                  <c:y val="-4.590755022244139E-2"/>
                </c:manualLayout>
              </c:layout>
              <c:tx>
                <c:rich>
                  <a:bodyPr/>
                  <a:lstStyle/>
                  <a:p>
                    <a:fld id="{506D6ACC-951E-45C6-B7E9-337D18CECF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82C7-4051-BB84-9AA12F19A836}"/>
                </c:ext>
              </c:extLst>
            </c:dLbl>
            <c:dLbl>
              <c:idx val="6"/>
              <c:layout>
                <c:manualLayout>
                  <c:x val="9.236234458259325E-2"/>
                  <c:y val="-1.932949483050166E-2"/>
                </c:manualLayout>
              </c:layout>
              <c:tx>
                <c:rich>
                  <a:bodyPr/>
                  <a:lstStyle/>
                  <a:p>
                    <a:fld id="{EDB4BDAA-8FED-4DB7-842C-07F3F56062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82C7-4051-BB84-9AA12F19A836}"/>
                </c:ext>
              </c:extLst>
            </c:dLbl>
            <c:dLbl>
              <c:idx val="7"/>
              <c:layout>
                <c:manualLayout>
                  <c:x val="8.2889283599763178E-2"/>
                  <c:y val="7.2485605614381141E-3"/>
                </c:manualLayout>
              </c:layout>
              <c:tx>
                <c:rich>
                  <a:bodyPr/>
                  <a:lstStyle/>
                  <a:p>
                    <a:fld id="{6163ED57-CACC-410A-BB8C-75CB86CFEB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82C7-4051-BB84-9AA12F19A836}"/>
                </c:ext>
              </c:extLst>
            </c:dLbl>
            <c:dLbl>
              <c:idx val="8"/>
              <c:layout>
                <c:manualLayout>
                  <c:x val="8.1705150976909419E-2"/>
                  <c:y val="3.1410524225031849E-2"/>
                </c:manualLayout>
              </c:layout>
              <c:tx>
                <c:rich>
                  <a:bodyPr rot="0" spcFirstLastPara="1" vertOverflow="ellipsis" vert="horz" wrap="square" lIns="38100" tIns="19050" rIns="38100" bIns="19050" anchor="t" anchorCtr="0">
                    <a:noAutofit/>
                  </a:bodyPr>
                  <a:lstStyle/>
                  <a:p>
                    <a:pPr>
                      <a:defRPr sz="900" b="1" i="0" u="none" strike="noStrike" kern="1200" baseline="0">
                        <a:solidFill>
                          <a:schemeClr val="tx1">
                            <a:lumMod val="75000"/>
                            <a:lumOff val="25000"/>
                          </a:schemeClr>
                        </a:solidFill>
                        <a:latin typeface="+mn-lt"/>
                        <a:ea typeface="+mn-ea"/>
                        <a:cs typeface="+mn-cs"/>
                      </a:defRPr>
                    </a:pPr>
                    <a:fld id="{59129645-AEDE-47B7-95B6-09CD0ABE64F3}" type="CELLRANGE">
                      <a:rPr lang="en-US"/>
                      <a:pPr>
                        <a:defRPr b="1"/>
                      </a:pPr>
                      <a:t>[CELLRANGE]</a:t>
                    </a:fld>
                    <a:endParaRPr lang="en-US"/>
                  </a:p>
                </c:rich>
              </c:tx>
              <c:spPr>
                <a:noFill/>
                <a:ln>
                  <a:noFill/>
                </a:ln>
                <a:effectLst/>
              </c:spPr>
              <c:txPr>
                <a:bodyPr rot="0" spcFirstLastPara="1" vertOverflow="ellipsis" vert="horz" wrap="square" lIns="38100" tIns="19050" rIns="38100" bIns="19050" anchor="t"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3.8176435760805205E-2"/>
                      <c:h val="3.3790468276037357E-2"/>
                    </c:manualLayout>
                  </c15:layout>
                  <c15:dlblFieldTable/>
                  <c15:showDataLabelsRange val="1"/>
                </c:ext>
                <c:ext xmlns:c16="http://schemas.microsoft.com/office/drawing/2014/chart" uri="{C3380CC4-5D6E-409C-BE32-E72D297353CC}">
                  <c16:uniqueId val="{00000023-82C7-4051-BB84-9AA12F19A836}"/>
                </c:ext>
              </c:extLst>
            </c:dLbl>
            <c:dLbl>
              <c:idx val="9"/>
              <c:layout>
                <c:manualLayout>
                  <c:x val="7.1047957371225406E-2"/>
                  <c:y val="6.0404671345317622E-2"/>
                </c:manualLayout>
              </c:layout>
              <c:tx>
                <c:rich>
                  <a:bodyPr/>
                  <a:lstStyle/>
                  <a:p>
                    <a:fld id="{96B2D021-DE2B-480B-870B-ECDF971288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82C7-4051-BB84-9AA12F19A836}"/>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2C7-4051-BB84-9AA12F19A836}"/>
                </c:ext>
              </c:extLst>
            </c:dLbl>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val>
            <c:numRef>
              <c:f>'Speedometer chart calcs'!$N$2:$N$12</c:f>
              <c:numCache>
                <c:formatCode>General</c:formatCode>
                <c:ptCount val="11"/>
                <c:pt idx="0">
                  <c:v>9.1</c:v>
                </c:pt>
                <c:pt idx="1">
                  <c:v>9.1</c:v>
                </c:pt>
                <c:pt idx="2">
                  <c:v>9.1</c:v>
                </c:pt>
                <c:pt idx="3">
                  <c:v>9.1</c:v>
                </c:pt>
                <c:pt idx="4">
                  <c:v>9.1</c:v>
                </c:pt>
                <c:pt idx="5">
                  <c:v>9.1</c:v>
                </c:pt>
                <c:pt idx="6">
                  <c:v>9.1</c:v>
                </c:pt>
                <c:pt idx="7">
                  <c:v>9.1</c:v>
                </c:pt>
                <c:pt idx="8">
                  <c:v>9.1</c:v>
                </c:pt>
                <c:pt idx="9">
                  <c:v>9.1</c:v>
                </c:pt>
                <c:pt idx="10">
                  <c:v>90.999999999999986</c:v>
                </c:pt>
              </c:numCache>
            </c:numRef>
          </c:val>
          <c:extLst>
            <c:ext xmlns:c15="http://schemas.microsoft.com/office/drawing/2012/chart" uri="{02D57815-91ED-43cb-92C2-25804820EDAC}">
              <c15:datalabelsRange>
                <c15:f>'Speedometer chart calcs'!$M$2:$M$12</c15:f>
                <c15:dlblRangeCache>
                  <c:ptCount val="11"/>
                  <c:pt idx="0">
                    <c:v>9.1</c:v>
                  </c:pt>
                  <c:pt idx="1">
                    <c:v>18.2</c:v>
                  </c:pt>
                  <c:pt idx="2">
                    <c:v>27.3</c:v>
                  </c:pt>
                  <c:pt idx="3">
                    <c:v>36.4</c:v>
                  </c:pt>
                  <c:pt idx="4">
                    <c:v>45.5</c:v>
                  </c:pt>
                  <c:pt idx="5">
                    <c:v>54.6</c:v>
                  </c:pt>
                  <c:pt idx="6">
                    <c:v>63.7</c:v>
                  </c:pt>
                  <c:pt idx="7">
                    <c:v>72.8</c:v>
                  </c:pt>
                  <c:pt idx="8">
                    <c:v>81.9</c:v>
                  </c:pt>
                  <c:pt idx="9">
                    <c:v>91</c:v>
                  </c:pt>
                  <c:pt idx="10">
                    <c:v>Total</c:v>
                  </c:pt>
                </c15:dlblRangeCache>
              </c15:datalabelsRange>
            </c:ext>
            <c:ext xmlns:c16="http://schemas.microsoft.com/office/drawing/2014/chart" uri="{C3380CC4-5D6E-409C-BE32-E72D297353CC}">
              <c16:uniqueId val="{00000028-82C7-4051-BB84-9AA12F19A836}"/>
            </c:ext>
          </c:extLst>
        </c:ser>
        <c:dLbls>
          <c:showLegendKey val="0"/>
          <c:showVal val="0"/>
          <c:showCatName val="0"/>
          <c:showSerName val="0"/>
          <c:showPercent val="0"/>
          <c:showBubbleSize val="0"/>
          <c:showLeaderLines val="0"/>
        </c:dLbls>
        <c:firstSliceAng val="270"/>
        <c:holeSize val="7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Wrong- Order-O-Meter</a:t>
            </a:r>
            <a:br>
              <a:rPr lang="en-US"/>
            </a:br>
            <a:r>
              <a:rPr lang="en-US"/>
              <a:t>(for all work, planned and unplanned)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2"/>
          <c:order val="2"/>
          <c:tx>
            <c:v>Pointer</c:v>
          </c:tx>
          <c:spPr>
            <a:ln>
              <a:noFill/>
            </a:ln>
          </c:spPr>
          <c:dPt>
            <c:idx val="0"/>
            <c:bubble3D val="0"/>
            <c:spPr>
              <a:noFill/>
              <a:ln w="19050">
                <a:noFill/>
              </a:ln>
              <a:effectLst/>
            </c:spPr>
            <c:extLst>
              <c:ext xmlns:c16="http://schemas.microsoft.com/office/drawing/2014/chart" uri="{C3380CC4-5D6E-409C-BE32-E72D297353CC}">
                <c16:uniqueId val="{00000001-C48F-40D5-A50A-826120E7C35A}"/>
              </c:ext>
            </c:extLst>
          </c:dPt>
          <c:dPt>
            <c:idx val="1"/>
            <c:bubble3D val="0"/>
            <c:explosion val="5"/>
            <c:spPr>
              <a:solidFill>
                <a:schemeClr val="accent1">
                  <a:lumMod val="75000"/>
                </a:schemeClr>
              </a:solidFill>
              <a:ln w="50800">
                <a:noFill/>
              </a:ln>
              <a:effectLst/>
            </c:spPr>
            <c:extLst>
              <c:ext xmlns:c16="http://schemas.microsoft.com/office/drawing/2014/chart" uri="{C3380CC4-5D6E-409C-BE32-E72D297353CC}">
                <c16:uniqueId val="{00000003-C48F-40D5-A50A-826120E7C35A}"/>
              </c:ext>
            </c:extLst>
          </c:dPt>
          <c:dPt>
            <c:idx val="2"/>
            <c:bubble3D val="0"/>
            <c:spPr>
              <a:noFill/>
              <a:ln w="19050">
                <a:noFill/>
              </a:ln>
              <a:effectLst/>
            </c:spPr>
            <c:extLst>
              <c:ext xmlns:c16="http://schemas.microsoft.com/office/drawing/2014/chart" uri="{C3380CC4-5D6E-409C-BE32-E72D297353CC}">
                <c16:uniqueId val="{00000005-C48F-40D5-A50A-826120E7C35A}"/>
              </c:ext>
            </c:extLst>
          </c:dPt>
          <c:val>
            <c:numRef>
              <c:f>'Speedometer chart calcs'!$Q$2:$Q$4</c:f>
              <c:numCache>
                <c:formatCode>General</c:formatCode>
                <c:ptCount val="3"/>
                <c:pt idx="0">
                  <c:v>38</c:v>
                </c:pt>
                <c:pt idx="1">
                  <c:v>1</c:v>
                </c:pt>
                <c:pt idx="2">
                  <c:v>143</c:v>
                </c:pt>
              </c:numCache>
            </c:numRef>
          </c:val>
          <c:extLst>
            <c:ext xmlns:c16="http://schemas.microsoft.com/office/drawing/2014/chart" uri="{C3380CC4-5D6E-409C-BE32-E72D297353CC}">
              <c16:uniqueId val="{00000006-C48F-40D5-A50A-826120E7C35A}"/>
            </c:ext>
          </c:extLst>
        </c:ser>
        <c:dLbls>
          <c:showLegendKey val="0"/>
          <c:showVal val="0"/>
          <c:showCatName val="0"/>
          <c:showSerName val="0"/>
          <c:showPercent val="0"/>
          <c:showBubbleSize val="0"/>
          <c:showLeaderLines val="1"/>
        </c:dLbls>
        <c:firstSliceAng val="270"/>
      </c:pieChart>
      <c:doughnutChart>
        <c:varyColors val="1"/>
        <c:ser>
          <c:idx val="0"/>
          <c:order val="0"/>
          <c:tx>
            <c:v>Category</c:v>
          </c:tx>
          <c:spPr>
            <a:ln>
              <a:noFill/>
            </a:ln>
          </c:spPr>
          <c:dPt>
            <c:idx val="0"/>
            <c:bubble3D val="0"/>
            <c:spPr>
              <a:solidFill>
                <a:schemeClr val="accent1">
                  <a:alpha val="70000"/>
                </a:schemeClr>
              </a:solidFill>
              <a:ln w="9525">
                <a:noFill/>
              </a:ln>
              <a:effectLst/>
            </c:spPr>
            <c:extLst>
              <c:ext xmlns:c16="http://schemas.microsoft.com/office/drawing/2014/chart" uri="{C3380CC4-5D6E-409C-BE32-E72D297353CC}">
                <c16:uniqueId val="{00000008-C48F-40D5-A50A-826120E7C35A}"/>
              </c:ext>
            </c:extLst>
          </c:dPt>
          <c:dPt>
            <c:idx val="1"/>
            <c:bubble3D val="0"/>
            <c:spPr>
              <a:solidFill>
                <a:schemeClr val="accent5">
                  <a:alpha val="72000"/>
                </a:schemeClr>
              </a:solidFill>
              <a:ln w="9525">
                <a:noFill/>
              </a:ln>
              <a:effectLst/>
            </c:spPr>
            <c:extLst>
              <c:ext xmlns:c16="http://schemas.microsoft.com/office/drawing/2014/chart" uri="{C3380CC4-5D6E-409C-BE32-E72D297353CC}">
                <c16:uniqueId val="{0000000A-C48F-40D5-A50A-826120E7C35A}"/>
              </c:ext>
            </c:extLst>
          </c:dPt>
          <c:dPt>
            <c:idx val="2"/>
            <c:bubble3D val="0"/>
            <c:spPr>
              <a:solidFill>
                <a:schemeClr val="accent4">
                  <a:alpha val="70000"/>
                </a:schemeClr>
              </a:solidFill>
              <a:ln w="9525">
                <a:noFill/>
              </a:ln>
              <a:effectLst/>
            </c:spPr>
            <c:extLst>
              <c:ext xmlns:c16="http://schemas.microsoft.com/office/drawing/2014/chart" uri="{C3380CC4-5D6E-409C-BE32-E72D297353CC}">
                <c16:uniqueId val="{0000000C-C48F-40D5-A50A-826120E7C35A}"/>
              </c:ext>
            </c:extLst>
          </c:dPt>
          <c:dPt>
            <c:idx val="3"/>
            <c:bubble3D val="0"/>
            <c:spPr>
              <a:solidFill>
                <a:schemeClr val="accent2">
                  <a:alpha val="70000"/>
                </a:schemeClr>
              </a:solidFill>
              <a:ln w="9525">
                <a:noFill/>
              </a:ln>
              <a:effectLst/>
            </c:spPr>
            <c:extLst>
              <c:ext xmlns:c16="http://schemas.microsoft.com/office/drawing/2014/chart" uri="{C3380CC4-5D6E-409C-BE32-E72D297353CC}">
                <c16:uniqueId val="{0000000E-C48F-40D5-A50A-826120E7C35A}"/>
              </c:ext>
            </c:extLst>
          </c:dPt>
          <c:dPt>
            <c:idx val="4"/>
            <c:bubble3D val="0"/>
            <c:spPr>
              <a:noFill/>
              <a:ln w="19050">
                <a:noFill/>
              </a:ln>
              <a:effectLst/>
            </c:spPr>
            <c:extLst>
              <c:ext xmlns:c16="http://schemas.microsoft.com/office/drawing/2014/chart" uri="{C3380CC4-5D6E-409C-BE32-E72D297353CC}">
                <c16:uniqueId val="{00000010-C48F-40D5-A50A-826120E7C35A}"/>
              </c:ext>
            </c:extLst>
          </c:dPt>
          <c:dLbls>
            <c:dLbl>
              <c:idx val="0"/>
              <c:tx>
                <c:rich>
                  <a:bodyPr/>
                  <a:lstStyle/>
                  <a:p>
                    <a:fld id="{E41A0E16-FB3C-4407-B734-2CCB47A140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48F-40D5-A50A-826120E7C35A}"/>
                </c:ext>
              </c:extLst>
            </c:dLbl>
            <c:dLbl>
              <c:idx val="1"/>
              <c:tx>
                <c:rich>
                  <a:bodyPr/>
                  <a:lstStyle/>
                  <a:p>
                    <a:fld id="{3C4112AD-E465-48A9-9E4F-B2DCE7107D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48F-40D5-A50A-826120E7C35A}"/>
                </c:ext>
              </c:extLst>
            </c:dLbl>
            <c:dLbl>
              <c:idx val="2"/>
              <c:tx>
                <c:rich>
                  <a:bodyPr/>
                  <a:lstStyle/>
                  <a:p>
                    <a:fld id="{3EF23A8B-7DF0-4380-B985-F9D001BEAD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48F-40D5-A50A-826120E7C35A}"/>
                </c:ext>
              </c:extLst>
            </c:dLbl>
            <c:dLbl>
              <c:idx val="3"/>
              <c:tx>
                <c:rich>
                  <a:bodyPr/>
                  <a:lstStyle/>
                  <a:p>
                    <a:fld id="{FFDF3C2A-1711-4D35-80D5-34668F9A8E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48F-40D5-A50A-826120E7C35A}"/>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48F-40D5-A50A-826120E7C3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val>
            <c:numRef>
              <c:f>'Speedometer chart calcs'!$K$2:$K$6</c:f>
              <c:numCache>
                <c:formatCode>General</c:formatCode>
                <c:ptCount val="5"/>
                <c:pt idx="0">
                  <c:v>20</c:v>
                </c:pt>
                <c:pt idx="1">
                  <c:v>30</c:v>
                </c:pt>
                <c:pt idx="2">
                  <c:v>30</c:v>
                </c:pt>
                <c:pt idx="3">
                  <c:v>20</c:v>
                </c:pt>
                <c:pt idx="4">
                  <c:v>100</c:v>
                </c:pt>
              </c:numCache>
            </c:numRef>
          </c:val>
          <c:extLst>
            <c:ext xmlns:c15="http://schemas.microsoft.com/office/drawing/2012/chart" uri="{02D57815-91ED-43cb-92C2-25804820EDAC}">
              <c15:datalabelsRange>
                <c15:f>'Speedometer chart calcs'!$J$2:$J$6</c15:f>
                <c15:dlblRangeCache>
                  <c:ptCount val="5"/>
                  <c:pt idx="0">
                    <c:v>Great</c:v>
                  </c:pt>
                  <c:pt idx="1">
                    <c:v>Good</c:v>
                  </c:pt>
                  <c:pt idx="2">
                    <c:v>Bad</c:v>
                  </c:pt>
                  <c:pt idx="3">
                    <c:v>Poor</c:v>
                  </c:pt>
                  <c:pt idx="4">
                    <c:v>Total</c:v>
                  </c:pt>
                </c15:dlblRangeCache>
              </c15:datalabelsRange>
            </c:ext>
            <c:ext xmlns:c16="http://schemas.microsoft.com/office/drawing/2014/chart" uri="{C3380CC4-5D6E-409C-BE32-E72D297353CC}">
              <c16:uniqueId val="{00000011-C48F-40D5-A50A-826120E7C35A}"/>
            </c:ext>
          </c:extLst>
        </c:ser>
        <c:ser>
          <c:idx val="1"/>
          <c:order val="1"/>
          <c:tx>
            <c:v>Label</c:v>
          </c:tx>
          <c:spPr>
            <a:solidFill>
              <a:schemeClr val="tx1">
                <a:lumMod val="50000"/>
                <a:lumOff val="50000"/>
                <a:alpha val="40000"/>
              </a:schemeClr>
            </a:solidFill>
            <a:ln>
              <a:noFill/>
            </a:ln>
          </c:spPr>
          <c:dPt>
            <c:idx val="0"/>
            <c:bubble3D val="0"/>
            <c:spPr>
              <a:solidFill>
                <a:schemeClr val="bg1">
                  <a:lumMod val="75000"/>
                  <a:alpha val="40000"/>
                </a:schemeClr>
              </a:solidFill>
              <a:ln w="9525">
                <a:noFill/>
              </a:ln>
              <a:effectLst/>
            </c:spPr>
            <c:extLst>
              <c:ext xmlns:c16="http://schemas.microsoft.com/office/drawing/2014/chart" uri="{C3380CC4-5D6E-409C-BE32-E72D297353CC}">
                <c16:uniqueId val="{00000013-C48F-40D5-A50A-826120E7C35A}"/>
              </c:ext>
            </c:extLst>
          </c:dPt>
          <c:dPt>
            <c:idx val="1"/>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15-C48F-40D5-A50A-826120E7C35A}"/>
              </c:ext>
            </c:extLst>
          </c:dPt>
          <c:dPt>
            <c:idx val="2"/>
            <c:bubble3D val="0"/>
            <c:spPr>
              <a:solidFill>
                <a:schemeClr val="bg1">
                  <a:lumMod val="85000"/>
                  <a:alpha val="40000"/>
                </a:schemeClr>
              </a:solidFill>
              <a:ln w="9525">
                <a:noFill/>
              </a:ln>
              <a:effectLst/>
            </c:spPr>
            <c:extLst>
              <c:ext xmlns:c16="http://schemas.microsoft.com/office/drawing/2014/chart" uri="{C3380CC4-5D6E-409C-BE32-E72D297353CC}">
                <c16:uniqueId val="{00000017-C48F-40D5-A50A-826120E7C35A}"/>
              </c:ext>
            </c:extLst>
          </c:dPt>
          <c:dPt>
            <c:idx val="3"/>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19-C48F-40D5-A50A-826120E7C35A}"/>
              </c:ext>
            </c:extLst>
          </c:dPt>
          <c:dPt>
            <c:idx val="4"/>
            <c:bubble3D val="0"/>
            <c:spPr>
              <a:solidFill>
                <a:schemeClr val="bg1">
                  <a:lumMod val="75000"/>
                  <a:alpha val="40000"/>
                </a:schemeClr>
              </a:solidFill>
              <a:ln w="9525">
                <a:noFill/>
              </a:ln>
              <a:effectLst/>
            </c:spPr>
            <c:extLst>
              <c:ext xmlns:c16="http://schemas.microsoft.com/office/drawing/2014/chart" uri="{C3380CC4-5D6E-409C-BE32-E72D297353CC}">
                <c16:uniqueId val="{0000001B-C48F-40D5-A50A-826120E7C35A}"/>
              </c:ext>
            </c:extLst>
          </c:dPt>
          <c:dPt>
            <c:idx val="5"/>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1D-C48F-40D5-A50A-826120E7C35A}"/>
              </c:ext>
            </c:extLst>
          </c:dPt>
          <c:dPt>
            <c:idx val="6"/>
            <c:bubble3D val="0"/>
            <c:spPr>
              <a:solidFill>
                <a:schemeClr val="bg1">
                  <a:lumMod val="75000"/>
                  <a:alpha val="40000"/>
                </a:schemeClr>
              </a:solidFill>
              <a:ln w="9525">
                <a:noFill/>
              </a:ln>
              <a:effectLst/>
            </c:spPr>
            <c:extLst>
              <c:ext xmlns:c16="http://schemas.microsoft.com/office/drawing/2014/chart" uri="{C3380CC4-5D6E-409C-BE32-E72D297353CC}">
                <c16:uniqueId val="{0000001F-C48F-40D5-A50A-826120E7C35A}"/>
              </c:ext>
            </c:extLst>
          </c:dPt>
          <c:dPt>
            <c:idx val="7"/>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21-C48F-40D5-A50A-826120E7C35A}"/>
              </c:ext>
            </c:extLst>
          </c:dPt>
          <c:dPt>
            <c:idx val="8"/>
            <c:bubble3D val="0"/>
            <c:spPr>
              <a:solidFill>
                <a:schemeClr val="bg1">
                  <a:lumMod val="75000"/>
                  <a:alpha val="40000"/>
                </a:schemeClr>
              </a:solidFill>
              <a:ln w="9525">
                <a:noFill/>
              </a:ln>
              <a:effectLst/>
            </c:spPr>
            <c:extLst>
              <c:ext xmlns:c16="http://schemas.microsoft.com/office/drawing/2014/chart" uri="{C3380CC4-5D6E-409C-BE32-E72D297353CC}">
                <c16:uniqueId val="{00000023-C48F-40D5-A50A-826120E7C35A}"/>
              </c:ext>
            </c:extLst>
          </c:dPt>
          <c:dPt>
            <c:idx val="9"/>
            <c:bubble3D val="0"/>
            <c:spPr>
              <a:solidFill>
                <a:schemeClr val="tx2">
                  <a:lumMod val="60000"/>
                  <a:lumOff val="40000"/>
                  <a:alpha val="40000"/>
                </a:schemeClr>
              </a:solidFill>
              <a:ln w="9525">
                <a:noFill/>
              </a:ln>
              <a:effectLst/>
            </c:spPr>
            <c:extLst>
              <c:ext xmlns:c16="http://schemas.microsoft.com/office/drawing/2014/chart" uri="{C3380CC4-5D6E-409C-BE32-E72D297353CC}">
                <c16:uniqueId val="{00000025-C48F-40D5-A50A-826120E7C35A}"/>
              </c:ext>
            </c:extLst>
          </c:dPt>
          <c:dPt>
            <c:idx val="10"/>
            <c:bubble3D val="0"/>
            <c:spPr>
              <a:noFill/>
              <a:ln w="19050">
                <a:noFill/>
              </a:ln>
              <a:effectLst/>
            </c:spPr>
            <c:extLst>
              <c:ext xmlns:c16="http://schemas.microsoft.com/office/drawing/2014/chart" uri="{C3380CC4-5D6E-409C-BE32-E72D297353CC}">
                <c16:uniqueId val="{00000027-C48F-40D5-A50A-826120E7C35A}"/>
              </c:ext>
            </c:extLst>
          </c:dPt>
          <c:dLbls>
            <c:dLbl>
              <c:idx val="0"/>
              <c:layout>
                <c:manualLayout>
                  <c:x val="-4.9733570159857902E-2"/>
                  <c:y val="-7.7317979322006514E-2"/>
                </c:manualLayout>
              </c:layout>
              <c:tx>
                <c:rich>
                  <a:bodyPr/>
                  <a:lstStyle/>
                  <a:p>
                    <a:fld id="{63195CF5-44A2-48B3-9953-8DA96858DC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C48F-40D5-A50A-826120E7C35A}"/>
                </c:ext>
              </c:extLst>
            </c:dLbl>
            <c:dLbl>
              <c:idx val="1"/>
              <c:layout>
                <c:manualLayout>
                  <c:x val="-1.8946121965660152E-2"/>
                  <c:y val="-8.6982726737257418E-2"/>
                </c:manualLayout>
              </c:layout>
              <c:tx>
                <c:rich>
                  <a:bodyPr/>
                  <a:lstStyle/>
                  <a:p>
                    <a:fld id="{AE3DA054-5450-46FC-ADF9-A128E19FEBE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C48F-40D5-A50A-826120E7C35A}"/>
                </c:ext>
              </c:extLst>
            </c:dLbl>
            <c:dLbl>
              <c:idx val="2"/>
              <c:layout>
                <c:manualLayout>
                  <c:x val="0"/>
                  <c:y val="-8.6982726737257376E-2"/>
                </c:manualLayout>
              </c:layout>
              <c:tx>
                <c:rich>
                  <a:bodyPr/>
                  <a:lstStyle/>
                  <a:p>
                    <a:fld id="{9DB8946E-7842-4924-BB01-8B56BB3088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C48F-40D5-A50A-826120E7C35A}"/>
                </c:ext>
              </c:extLst>
            </c:dLbl>
            <c:dLbl>
              <c:idx val="3"/>
              <c:layout>
                <c:manualLayout>
                  <c:x val="3.3155713439905268E-2"/>
                  <c:y val="-7.9734166175819271E-2"/>
                </c:manualLayout>
              </c:layout>
              <c:tx>
                <c:rich>
                  <a:bodyPr/>
                  <a:lstStyle/>
                  <a:p>
                    <a:fld id="{E4AC0EFF-724F-4390-A195-42AC15124E4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C48F-40D5-A50A-826120E7C35A}"/>
                </c:ext>
              </c:extLst>
            </c:dLbl>
            <c:dLbl>
              <c:idx val="4"/>
              <c:layout>
                <c:manualLayout>
                  <c:x val="6.15748963883955E-2"/>
                  <c:y val="-6.7653231906755734E-2"/>
                </c:manualLayout>
              </c:layout>
              <c:tx>
                <c:rich>
                  <a:bodyPr/>
                  <a:lstStyle/>
                  <a:p>
                    <a:fld id="{1E146DF9-0494-45C8-9E49-9541E3A84B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C48F-40D5-A50A-826120E7C35A}"/>
                </c:ext>
              </c:extLst>
            </c:dLbl>
            <c:dLbl>
              <c:idx val="5"/>
              <c:layout>
                <c:manualLayout>
                  <c:x val="8.5257548845470613E-2"/>
                  <c:y val="-4.590755022244139E-2"/>
                </c:manualLayout>
              </c:layout>
              <c:tx>
                <c:rich>
                  <a:bodyPr/>
                  <a:lstStyle/>
                  <a:p>
                    <a:fld id="{5E2319CD-31F1-4D32-90A2-C1CAD23C49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C48F-40D5-A50A-826120E7C35A}"/>
                </c:ext>
              </c:extLst>
            </c:dLbl>
            <c:dLbl>
              <c:idx val="6"/>
              <c:layout>
                <c:manualLayout>
                  <c:x val="9.236234458259325E-2"/>
                  <c:y val="-1.932949483050166E-2"/>
                </c:manualLayout>
              </c:layout>
              <c:tx>
                <c:rich>
                  <a:bodyPr/>
                  <a:lstStyle/>
                  <a:p>
                    <a:fld id="{98A419DD-110F-42D8-B7A9-6417BB68D7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C48F-40D5-A50A-826120E7C35A}"/>
                </c:ext>
              </c:extLst>
            </c:dLbl>
            <c:dLbl>
              <c:idx val="7"/>
              <c:layout>
                <c:manualLayout>
                  <c:x val="8.2889283599763178E-2"/>
                  <c:y val="7.2485605614381141E-3"/>
                </c:manualLayout>
              </c:layout>
              <c:tx>
                <c:rich>
                  <a:bodyPr/>
                  <a:lstStyle/>
                  <a:p>
                    <a:fld id="{9AABC3A3-EA79-4755-8DD6-8ACF1ADF33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C48F-40D5-A50A-826120E7C35A}"/>
                </c:ext>
              </c:extLst>
            </c:dLbl>
            <c:dLbl>
              <c:idx val="8"/>
              <c:layout>
                <c:manualLayout>
                  <c:x val="8.1705150976909419E-2"/>
                  <c:y val="3.1410524225031849E-2"/>
                </c:manualLayout>
              </c:layout>
              <c:tx>
                <c:rich>
                  <a:bodyPr rot="0" spcFirstLastPara="1" vertOverflow="ellipsis" vert="horz" wrap="square" lIns="38100" tIns="19050" rIns="38100" bIns="19050" anchor="t" anchorCtr="0">
                    <a:noAutofit/>
                  </a:bodyPr>
                  <a:lstStyle/>
                  <a:p>
                    <a:pPr>
                      <a:defRPr sz="900" b="1" i="0" u="none" strike="noStrike" kern="1200" baseline="0">
                        <a:solidFill>
                          <a:schemeClr val="tx1">
                            <a:lumMod val="75000"/>
                            <a:lumOff val="25000"/>
                          </a:schemeClr>
                        </a:solidFill>
                        <a:latin typeface="+mn-lt"/>
                        <a:ea typeface="+mn-ea"/>
                        <a:cs typeface="+mn-cs"/>
                      </a:defRPr>
                    </a:pPr>
                    <a:fld id="{CFDACAE5-61E0-41D7-8329-249DDEDEEDF1}" type="CELLRANGE">
                      <a:rPr lang="en-US"/>
                      <a:pPr>
                        <a:defRPr b="1"/>
                      </a:pPr>
                      <a:t>[CELLRANGE]</a:t>
                    </a:fld>
                    <a:endParaRPr lang="en-US"/>
                  </a:p>
                </c:rich>
              </c:tx>
              <c:spPr>
                <a:noFill/>
                <a:ln>
                  <a:noFill/>
                </a:ln>
                <a:effectLst/>
              </c:spPr>
              <c:txPr>
                <a:bodyPr rot="0" spcFirstLastPara="1" vertOverflow="ellipsis" vert="horz" wrap="square" lIns="38100" tIns="19050" rIns="38100" bIns="19050" anchor="t"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3.8176435760805205E-2"/>
                      <c:h val="3.3790468276037357E-2"/>
                    </c:manualLayout>
                  </c15:layout>
                  <c15:dlblFieldTable/>
                  <c15:showDataLabelsRange val="1"/>
                </c:ext>
                <c:ext xmlns:c16="http://schemas.microsoft.com/office/drawing/2014/chart" uri="{C3380CC4-5D6E-409C-BE32-E72D297353CC}">
                  <c16:uniqueId val="{00000023-C48F-40D5-A50A-826120E7C35A}"/>
                </c:ext>
              </c:extLst>
            </c:dLbl>
            <c:dLbl>
              <c:idx val="9"/>
              <c:layout>
                <c:manualLayout>
                  <c:x val="7.1047957371225406E-2"/>
                  <c:y val="6.0404671345317622E-2"/>
                </c:manualLayout>
              </c:layout>
              <c:tx>
                <c:rich>
                  <a:bodyPr/>
                  <a:lstStyle/>
                  <a:p>
                    <a:fld id="{4F10CAF4-1395-4700-9140-51D8A692BB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C48F-40D5-A50A-826120E7C35A}"/>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48F-40D5-A50A-826120E7C35A}"/>
                </c:ext>
              </c:extLst>
            </c:dLbl>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val>
            <c:numRef>
              <c:f>'Speedometer chart calcs'!$N$2:$N$12</c:f>
              <c:numCache>
                <c:formatCode>General</c:formatCode>
                <c:ptCount val="11"/>
                <c:pt idx="0">
                  <c:v>9.1</c:v>
                </c:pt>
                <c:pt idx="1">
                  <c:v>9.1</c:v>
                </c:pt>
                <c:pt idx="2">
                  <c:v>9.1</c:v>
                </c:pt>
                <c:pt idx="3">
                  <c:v>9.1</c:v>
                </c:pt>
                <c:pt idx="4">
                  <c:v>9.1</c:v>
                </c:pt>
                <c:pt idx="5">
                  <c:v>9.1</c:v>
                </c:pt>
                <c:pt idx="6">
                  <c:v>9.1</c:v>
                </c:pt>
                <c:pt idx="7">
                  <c:v>9.1</c:v>
                </c:pt>
                <c:pt idx="8">
                  <c:v>9.1</c:v>
                </c:pt>
                <c:pt idx="9">
                  <c:v>9.1</c:v>
                </c:pt>
                <c:pt idx="10">
                  <c:v>90.999999999999986</c:v>
                </c:pt>
              </c:numCache>
            </c:numRef>
          </c:val>
          <c:extLst>
            <c:ext xmlns:c15="http://schemas.microsoft.com/office/drawing/2012/chart" uri="{02D57815-91ED-43cb-92C2-25804820EDAC}">
              <c15:datalabelsRange>
                <c15:f>'Speedometer chart calcs'!$M$2:$M$12</c15:f>
                <c15:dlblRangeCache>
                  <c:ptCount val="11"/>
                  <c:pt idx="0">
                    <c:v>9.1</c:v>
                  </c:pt>
                  <c:pt idx="1">
                    <c:v>18.2</c:v>
                  </c:pt>
                  <c:pt idx="2">
                    <c:v>27.3</c:v>
                  </c:pt>
                  <c:pt idx="3">
                    <c:v>36.4</c:v>
                  </c:pt>
                  <c:pt idx="4">
                    <c:v>45.5</c:v>
                  </c:pt>
                  <c:pt idx="5">
                    <c:v>54.6</c:v>
                  </c:pt>
                  <c:pt idx="6">
                    <c:v>63.7</c:v>
                  </c:pt>
                  <c:pt idx="7">
                    <c:v>72.8</c:v>
                  </c:pt>
                  <c:pt idx="8">
                    <c:v>81.9</c:v>
                  </c:pt>
                  <c:pt idx="9">
                    <c:v>91</c:v>
                  </c:pt>
                  <c:pt idx="10">
                    <c:v>Total</c:v>
                  </c:pt>
                </c15:dlblRangeCache>
              </c15:datalabelsRange>
            </c:ext>
            <c:ext xmlns:c16="http://schemas.microsoft.com/office/drawing/2014/chart" uri="{C3380CC4-5D6E-409C-BE32-E72D297353CC}">
              <c16:uniqueId val="{00000028-C48F-40D5-A50A-826120E7C35A}"/>
            </c:ext>
          </c:extLst>
        </c:ser>
        <c:dLbls>
          <c:showLegendKey val="0"/>
          <c:showVal val="0"/>
          <c:showCatName val="0"/>
          <c:showSerName val="0"/>
          <c:showPercent val="0"/>
          <c:showBubbleSize val="0"/>
          <c:showLeaderLines val="0"/>
        </c:dLbls>
        <c:firstSliceAng val="270"/>
        <c:holeSize val="7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hyperlink" Target="https://blockedapp.com/" TargetMode="External"/><Relationship Id="rId2" Type="http://schemas.openxmlformats.org/officeDocument/2006/relationships/image" Target="../media/image1.png"/><Relationship Id="rId1" Type="http://schemas.openxmlformats.org/officeDocument/2006/relationships/hyperlink" Target="https://blockedapp.com" TargetMode="External"/><Relationship Id="rId4" Type="http://schemas.openxmlformats.org/officeDocument/2006/relationships/hyperlink" Target="https://www.focusedobjective.com"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589946</xdr:colOff>
      <xdr:row>30</xdr:row>
      <xdr:rowOff>125004</xdr:rowOff>
    </xdr:from>
    <xdr:to>
      <xdr:col>11</xdr:col>
      <xdr:colOff>567651</xdr:colOff>
      <xdr:row>50</xdr:row>
      <xdr:rowOff>38485</xdr:rowOff>
    </xdr:to>
    <xdr:graphicFrame macro="">
      <xdr:nvGraphicFramePr>
        <xdr:cNvPr id="3" name="Chart 2">
          <a:extLst>
            <a:ext uri="{FF2B5EF4-FFF2-40B4-BE49-F238E27FC236}">
              <a16:creationId xmlns:a16="http://schemas.microsoft.com/office/drawing/2014/main" id="{236A8BE6-8B1E-4A30-B1B3-9435322DE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600715</xdr:colOff>
      <xdr:row>4</xdr:row>
      <xdr:rowOff>86555</xdr:rowOff>
    </xdr:from>
    <xdr:to>
      <xdr:col>11</xdr:col>
      <xdr:colOff>586120</xdr:colOff>
      <xdr:row>30</xdr:row>
      <xdr:rowOff>32169</xdr:rowOff>
    </xdr:to>
    <xdr:graphicFrame macro="">
      <xdr:nvGraphicFramePr>
        <xdr:cNvPr id="4" name="Chart 3">
          <a:extLst>
            <a:ext uri="{FF2B5EF4-FFF2-40B4-BE49-F238E27FC236}">
              <a16:creationId xmlns:a16="http://schemas.microsoft.com/office/drawing/2014/main" id="{610B3D58-6E1C-40F6-B394-3743970F81D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173181</xdr:colOff>
      <xdr:row>23</xdr:row>
      <xdr:rowOff>1</xdr:rowOff>
    </xdr:from>
    <xdr:to>
      <xdr:col>11</xdr:col>
      <xdr:colOff>218282</xdr:colOff>
      <xdr:row>28</xdr:row>
      <xdr:rowOff>81781</xdr:rowOff>
    </xdr:to>
    <xdr:sp macro="" textlink="">
      <xdr:nvSpPr>
        <xdr:cNvPr id="5" name="TextBox 4">
          <a:extLst>
            <a:ext uri="{FF2B5EF4-FFF2-40B4-BE49-F238E27FC236}">
              <a16:creationId xmlns:a16="http://schemas.microsoft.com/office/drawing/2014/main" id="{86D1D329-31B8-4C4D-8D2B-1676ECC4E1FF}"/>
            </a:ext>
          </a:extLst>
        </xdr:cNvPr>
        <xdr:cNvSpPr txBox="1"/>
      </xdr:nvSpPr>
      <xdr:spPr>
        <a:xfrm>
          <a:off x="5967556" y="4200261"/>
          <a:ext cx="5230934" cy="991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The higher the number the more "Out of order" work was delivered. At half-way, more work is delivered out of the intended planned order than delivered in the planned order.</a:t>
          </a:r>
        </a:p>
      </xdr:txBody>
    </xdr:sp>
    <xdr:clientData/>
  </xdr:twoCellAnchor>
  <xdr:twoCellAnchor>
    <xdr:from>
      <xdr:col>5</xdr:col>
      <xdr:colOff>509925</xdr:colOff>
      <xdr:row>18</xdr:row>
      <xdr:rowOff>158748</xdr:rowOff>
    </xdr:from>
    <xdr:to>
      <xdr:col>8</xdr:col>
      <xdr:colOff>502573</xdr:colOff>
      <xdr:row>21</xdr:row>
      <xdr:rowOff>25664</xdr:rowOff>
    </xdr:to>
    <xdr:sp macro="" textlink="'Speedometer chart calcs'!$Q$2">
      <xdr:nvSpPr>
        <xdr:cNvPr id="7" name="TextBox 6">
          <a:extLst>
            <a:ext uri="{FF2B5EF4-FFF2-40B4-BE49-F238E27FC236}">
              <a16:creationId xmlns:a16="http://schemas.microsoft.com/office/drawing/2014/main" id="{ECEBA540-A195-41FA-83AF-782BA5C58736}"/>
            </a:ext>
          </a:extLst>
        </xdr:cNvPr>
        <xdr:cNvSpPr txBox="1"/>
      </xdr:nvSpPr>
      <xdr:spPr>
        <a:xfrm>
          <a:off x="7605569" y="3468445"/>
          <a:ext cx="1940943" cy="41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E786BD-60CE-4EFE-832A-A9E7EA2267FA}" type="TxLink">
            <a:rPr lang="en-US" sz="3200" b="0" i="0" u="none" strike="noStrike">
              <a:solidFill>
                <a:srgbClr val="000000"/>
              </a:solidFill>
              <a:latin typeface="Calibri"/>
              <a:ea typeface="Verdana" panose="020B0604030504040204" pitchFamily="34" charset="0"/>
              <a:cs typeface="Calibri"/>
            </a:rPr>
            <a:pPr algn="ctr"/>
            <a:t>38</a:t>
          </a:fld>
          <a:endParaRPr lang="en-US" sz="213200" b="1">
            <a:solidFill>
              <a:srgbClr val="FF0000"/>
            </a:solidFill>
            <a:latin typeface="Gotham Black" pitchFamily="50" charset="0"/>
            <a:ea typeface="Verdana" panose="020B0604030504040204" pitchFamily="34" charset="0"/>
            <a:cs typeface="Aharoni" panose="02010803020104030203" pitchFamily="2" charset="-79"/>
          </a:endParaRPr>
        </a:p>
      </xdr:txBody>
    </xdr:sp>
    <xdr:clientData/>
  </xdr:twoCellAnchor>
  <xdr:twoCellAnchor>
    <xdr:from>
      <xdr:col>0</xdr:col>
      <xdr:colOff>1101629</xdr:colOff>
      <xdr:row>12</xdr:row>
      <xdr:rowOff>72159</xdr:rowOff>
    </xdr:from>
    <xdr:to>
      <xdr:col>2</xdr:col>
      <xdr:colOff>52917</xdr:colOff>
      <xdr:row>30</xdr:row>
      <xdr:rowOff>105833</xdr:rowOff>
    </xdr:to>
    <xdr:sp macro="" textlink="">
      <xdr:nvSpPr>
        <xdr:cNvPr id="8" name="TextBox 7">
          <a:extLst>
            <a:ext uri="{FF2B5EF4-FFF2-40B4-BE49-F238E27FC236}">
              <a16:creationId xmlns:a16="http://schemas.microsoft.com/office/drawing/2014/main" id="{FDC4BC47-A855-457A-99A0-C2A3CA195B7B}"/>
            </a:ext>
          </a:extLst>
        </xdr:cNvPr>
        <xdr:cNvSpPr txBox="1"/>
      </xdr:nvSpPr>
      <xdr:spPr>
        <a:xfrm>
          <a:off x="1101629" y="2271508"/>
          <a:ext cx="4097434" cy="330789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Enter the planned order and the delivered order of features</a:t>
          </a:r>
          <a:r>
            <a:rPr lang="en-US" sz="1100" baseline="0"/>
            <a:t> or epics (not really intended for story level prioritization)</a:t>
          </a:r>
          <a:r>
            <a:rPr lang="en-US" sz="1100"/>
            <a:t> in the blue table above. It automatically grows as you add items at the bottom. The cell will glow pink if you use</a:t>
          </a:r>
          <a:r>
            <a:rPr lang="en-US" sz="1100" baseline="0"/>
            <a:t> an item name more than once (as the example shows, just rename one of them).</a:t>
          </a:r>
        </a:p>
        <a:p>
          <a:endParaRPr lang="en-US" sz="1100" baseline="0"/>
        </a:p>
        <a:p>
          <a:r>
            <a:rPr lang="en-US" sz="1100" baseline="0"/>
            <a:t>The goal is to see that prioritization is executable by an organization. Sometimes dependencies, team capacity or external blockers make it hard to deliver work in the planned order. This meter helps highlight that planned versus delivered gap so you can find out why and solve the causes (or just stop prioritizing as it isn't adding value).</a:t>
          </a:r>
        </a:p>
        <a:p>
          <a:endParaRPr lang="en-US" sz="1100" baseline="0"/>
        </a:p>
        <a:p>
          <a:r>
            <a:rPr lang="en-US" sz="1100" baseline="0"/>
            <a:t>The term "Wrong-Order-O-Meter" comes from Chris Matts to the best of my knowledge. I just made it "pretty" and did an attempt at some scoring mechanism. Please give feedback.</a:t>
          </a:r>
        </a:p>
        <a:p>
          <a:endParaRPr lang="en-US" sz="1100" baseline="0"/>
        </a:p>
        <a:p>
          <a:r>
            <a:rPr lang="en-US" sz="1100" baseline="0"/>
            <a:t>Speedometer graph stolen here with thanks: https://excelchamps.com/blog/speedometer/</a:t>
          </a:r>
          <a:endParaRPr lang="en-US" sz="1100"/>
        </a:p>
      </xdr:txBody>
    </xdr:sp>
    <xdr:clientData/>
  </xdr:twoCellAnchor>
  <xdr:twoCellAnchor>
    <xdr:from>
      <xdr:col>12</xdr:col>
      <xdr:colOff>263044</xdr:colOff>
      <xdr:row>5</xdr:row>
      <xdr:rowOff>85050</xdr:rowOff>
    </xdr:from>
    <xdr:to>
      <xdr:col>17</xdr:col>
      <xdr:colOff>162021</xdr:colOff>
      <xdr:row>25</xdr:row>
      <xdr:rowOff>76969</xdr:rowOff>
    </xdr:to>
    <xdr:sp macro="" textlink="">
      <xdr:nvSpPr>
        <xdr:cNvPr id="9" name="TextBox 8">
          <a:extLst>
            <a:ext uri="{FF2B5EF4-FFF2-40B4-BE49-F238E27FC236}">
              <a16:creationId xmlns:a16="http://schemas.microsoft.com/office/drawing/2014/main" id="{B5724691-976A-45DB-8C87-D144CD7AAD16}"/>
            </a:ext>
          </a:extLst>
        </xdr:cNvPr>
        <xdr:cNvSpPr txBox="1"/>
      </xdr:nvSpPr>
      <xdr:spPr>
        <a:xfrm>
          <a:off x="11904711" y="1018308"/>
          <a:ext cx="3146136" cy="364797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algorithm.</a:t>
          </a:r>
        </a:p>
        <a:p>
          <a:endParaRPr lang="en-US" sz="1100"/>
        </a:p>
        <a:p>
          <a:r>
            <a:rPr lang="en-US" sz="1100"/>
            <a:t>I'm still nutting this out really. At the moment. </a:t>
          </a:r>
        </a:p>
        <a:p>
          <a:endParaRPr lang="en-US" sz="1100"/>
        </a:p>
        <a:p>
          <a:r>
            <a:rPr lang="en-US" sz="1100"/>
            <a:t>- Anything delivered out of order gets a penalty point for how far out of order it is</a:t>
          </a:r>
          <a:r>
            <a:rPr lang="en-US" sz="1100" baseline="0"/>
            <a:t> delivered (compared to the row delivered vs planned). </a:t>
          </a:r>
        </a:p>
        <a:p>
          <a:r>
            <a:rPr lang="en-US" sz="1100" baseline="0"/>
            <a:t>- Then i add the maximum pealty (number of planned items + 1) for anything unplanned (not in planned order column). </a:t>
          </a:r>
        </a:p>
        <a:p>
          <a:r>
            <a:rPr lang="en-US" sz="1100" baseline="0"/>
            <a:t>- Then I add the maximum penalty for any planned item that isn't delivered.</a:t>
          </a:r>
        </a:p>
        <a:p>
          <a:endParaRPr lang="en-US" sz="1100" baseline="0"/>
        </a:p>
        <a:p>
          <a:r>
            <a:rPr lang="en-US" sz="1100" baseline="0"/>
            <a:t>What i don't like: the undelivred planned items should probably get more penalty the higher in the planned list it was, at the moment everything is equal maximum penalty.</a:t>
          </a:r>
        </a:p>
        <a:p>
          <a:endParaRPr lang="en-US" sz="1100" baseline="0"/>
        </a:p>
        <a:p>
          <a:r>
            <a:rPr lang="en-US" sz="1100" baseline="0"/>
            <a:t>So, its going to get better (change). Hopefully with your help: troy.magennis@focusedobjective.com</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2652714</xdr:colOff>
      <xdr:row>2</xdr:row>
      <xdr:rowOff>180975</xdr:rowOff>
    </xdr:from>
    <xdr:to>
      <xdr:col>4</xdr:col>
      <xdr:colOff>422223</xdr:colOff>
      <xdr:row>7</xdr:row>
      <xdr:rowOff>119064</xdr:rowOff>
    </xdr:to>
    <xdr:pic>
      <xdr:nvPicPr>
        <xdr:cNvPr id="2" name="Picture 1">
          <a:hlinkClick xmlns:r="http://schemas.openxmlformats.org/officeDocument/2006/relationships" r:id="rId1"/>
          <a:extLst>
            <a:ext uri="{FF2B5EF4-FFF2-40B4-BE49-F238E27FC236}">
              <a16:creationId xmlns:a16="http://schemas.microsoft.com/office/drawing/2014/main" id="{919B4D6C-E648-40D3-B77E-4A8E228A53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977" y="614363"/>
          <a:ext cx="1360434" cy="1085851"/>
        </a:xfrm>
        <a:prstGeom prst="rect">
          <a:avLst/>
        </a:prstGeom>
      </xdr:spPr>
    </xdr:pic>
    <xdr:clientData/>
  </xdr:twoCellAnchor>
  <xdr:twoCellAnchor>
    <xdr:from>
      <xdr:col>3</xdr:col>
      <xdr:colOff>1214438</xdr:colOff>
      <xdr:row>8</xdr:row>
      <xdr:rowOff>185737</xdr:rowOff>
    </xdr:from>
    <xdr:to>
      <xdr:col>7</xdr:col>
      <xdr:colOff>314325</xdr:colOff>
      <xdr:row>24</xdr:row>
      <xdr:rowOff>300037</xdr:rowOff>
    </xdr:to>
    <xdr:sp macro="" textlink="">
      <xdr:nvSpPr>
        <xdr:cNvPr id="3" name="TextBox 2">
          <a:hlinkClick xmlns:r="http://schemas.openxmlformats.org/officeDocument/2006/relationships" r:id="rId3"/>
          <a:extLst>
            <a:ext uri="{FF2B5EF4-FFF2-40B4-BE49-F238E27FC236}">
              <a16:creationId xmlns:a16="http://schemas.microsoft.com/office/drawing/2014/main" id="{D2AC74AB-8DD5-4DF9-8E6D-640CF8E7DBD0}"/>
            </a:ext>
          </a:extLst>
        </xdr:cNvPr>
        <xdr:cNvSpPr txBox="1"/>
      </xdr:nvSpPr>
      <xdr:spPr>
        <a:xfrm>
          <a:off x="10172701" y="2552700"/>
          <a:ext cx="4633912" cy="59817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 recently launced a</a:t>
          </a:r>
          <a:r>
            <a:rPr lang="en-US" sz="1400" baseline="0"/>
            <a:t> </a:t>
          </a:r>
          <a:r>
            <a:rPr lang="en-US" sz="1400"/>
            <a:t>SaaS  application to track and manage Blockers and Dependencies between teams. </a:t>
          </a:r>
          <a:r>
            <a:rPr lang="en-US" sz="1400" b="1"/>
            <a:t>It is FREE to use at a team level </a:t>
          </a:r>
          <a:r>
            <a:rPr lang="en-US" sz="1400"/>
            <a:t>(just invite your team members and have a consolidated view of all impediments and the causes of those impediments).</a:t>
          </a:r>
        </a:p>
        <a:p>
          <a:endParaRPr lang="en-US" sz="1400"/>
        </a:p>
        <a:p>
          <a:r>
            <a:rPr lang="en-US" sz="1400"/>
            <a:t>See: BlockedApp.com for all the details </a:t>
          </a:r>
          <a:br>
            <a:rPr lang="en-US" sz="1400"/>
          </a:br>
          <a:r>
            <a:rPr lang="en-US" sz="1400"/>
            <a:t>(click anywhere in this box to open)</a:t>
          </a:r>
        </a:p>
        <a:p>
          <a:endParaRPr lang="en-US" sz="1400"/>
        </a:p>
        <a:p>
          <a:r>
            <a:rPr lang="en-US" sz="1400"/>
            <a:t>Once you have flow and blockers under control at a team level, invite other teams and</a:t>
          </a:r>
          <a:r>
            <a:rPr lang="en-US" sz="1400" baseline="0"/>
            <a:t> other organizations to start fixing those flow problems (and we then gladly accept your credit-card for monthly subscription based on # teams).</a:t>
          </a:r>
        </a:p>
        <a:p>
          <a:endParaRPr lang="en-US" sz="1400" baseline="0"/>
        </a:p>
        <a:p>
          <a:r>
            <a:rPr lang="en-US" sz="1400" baseline="0"/>
            <a:t>Features at a glance -</a:t>
          </a:r>
        </a:p>
        <a:p>
          <a:r>
            <a:rPr lang="en-US" sz="1400" baseline="0"/>
            <a:t>- Capture Blockers and the causes of those blockers for YOUR team, these are always sorted by Urgency and Age to make sure the right "Blockers" pop to the top.</a:t>
          </a:r>
        </a:p>
        <a:p>
          <a:r>
            <a:rPr lang="en-US" sz="1400" baseline="0"/>
            <a:t>- See what teams are blocked by YOUR team</a:t>
          </a:r>
        </a:p>
        <a:p>
          <a:r>
            <a:rPr lang="en-US" sz="1400" baseline="0"/>
            <a:t>- Email and Slack notifications (if turned on) on new blockers to the right teams and channels</a:t>
          </a:r>
        </a:p>
        <a:p>
          <a:r>
            <a:rPr lang="en-US" sz="1400" baseline="0"/>
            <a:t>- Analytics (charts of course, it is me you know) on"Blockers in Progress" "Team vs Team Matrix" "Leading Causes" and "Lost Days" charts</a:t>
          </a:r>
        </a:p>
        <a:p>
          <a:r>
            <a:rPr lang="en-US" sz="1400" baseline="0"/>
            <a:t>- Full bi-directional integration with JIRA (if configured)</a:t>
          </a:r>
          <a:endParaRPr lang="en-US" sz="1400"/>
        </a:p>
        <a:p>
          <a:endParaRPr lang="en-US" sz="1400"/>
        </a:p>
        <a:p>
          <a:endParaRPr lang="en-US" sz="1400"/>
        </a:p>
      </xdr:txBody>
    </xdr:sp>
    <xdr:clientData/>
  </xdr:twoCellAnchor>
  <xdr:twoCellAnchor>
    <xdr:from>
      <xdr:col>1</xdr:col>
      <xdr:colOff>3243263</xdr:colOff>
      <xdr:row>0</xdr:row>
      <xdr:rowOff>57149</xdr:rowOff>
    </xdr:from>
    <xdr:to>
      <xdr:col>2</xdr:col>
      <xdr:colOff>1</xdr:colOff>
      <xdr:row>1</xdr:row>
      <xdr:rowOff>165326</xdr:rowOff>
    </xdr:to>
    <xdr:sp macro="" textlink="">
      <xdr:nvSpPr>
        <xdr:cNvPr id="4" name="Rectangle: Rounded Corners 3">
          <a:hlinkClick xmlns:r="http://schemas.openxmlformats.org/officeDocument/2006/relationships" r:id="rId4"/>
          <a:extLst>
            <a:ext uri="{FF2B5EF4-FFF2-40B4-BE49-F238E27FC236}">
              <a16:creationId xmlns:a16="http://schemas.microsoft.com/office/drawing/2014/main" id="{8828E0E4-4A49-4796-9385-A9610A2F556B}"/>
            </a:ext>
          </a:extLst>
        </xdr:cNvPr>
        <xdr:cNvSpPr/>
      </xdr:nvSpPr>
      <xdr:spPr>
        <a:xfrm>
          <a:off x="3890963" y="57149"/>
          <a:ext cx="4400551" cy="28915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1050"/>
            <a:t>Want help? Go to my training workshop and consulting website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14285</xdr:rowOff>
    </xdr:from>
    <xdr:to>
      <xdr:col>7</xdr:col>
      <xdr:colOff>541320</xdr:colOff>
      <xdr:row>26</xdr:row>
      <xdr:rowOff>0</xdr:rowOff>
    </xdr:to>
    <xdr:graphicFrame macro="">
      <xdr:nvGraphicFramePr>
        <xdr:cNvPr id="3" name="Chart 2">
          <a:extLst>
            <a:ext uri="{FF2B5EF4-FFF2-40B4-BE49-F238E27FC236}">
              <a16:creationId xmlns:a16="http://schemas.microsoft.com/office/drawing/2014/main" id="{A57EF6D0-3672-4C41-9667-636B327C52C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574720</xdr:colOff>
      <xdr:row>14</xdr:row>
      <xdr:rowOff>105184</xdr:rowOff>
    </xdr:from>
    <xdr:to>
      <xdr:col>4</xdr:col>
      <xdr:colOff>574720</xdr:colOff>
      <xdr:row>16</xdr:row>
      <xdr:rowOff>161075</xdr:rowOff>
    </xdr:to>
    <xdr:sp macro="" textlink="'Speedometer chart calcs'!$Q$2">
      <xdr:nvSpPr>
        <xdr:cNvPr id="4" name="TextBox 3">
          <a:extLst>
            <a:ext uri="{FF2B5EF4-FFF2-40B4-BE49-F238E27FC236}">
              <a16:creationId xmlns:a16="http://schemas.microsoft.com/office/drawing/2014/main" id="{776DDEB0-BE59-4A50-A0F7-562D96280F50}"/>
            </a:ext>
          </a:extLst>
        </xdr:cNvPr>
        <xdr:cNvSpPr txBox="1"/>
      </xdr:nvSpPr>
      <xdr:spPr>
        <a:xfrm>
          <a:off x="1958541" y="2621222"/>
          <a:ext cx="1940943" cy="41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E786BD-60CE-4EFE-832A-A9E7EA2267FA}" type="TxLink">
            <a:rPr lang="en-US" sz="3200" b="0" i="0" u="none" strike="noStrike">
              <a:solidFill>
                <a:srgbClr val="000000"/>
              </a:solidFill>
              <a:latin typeface="Calibri"/>
              <a:ea typeface="Verdana" panose="020B0604030504040204" pitchFamily="34" charset="0"/>
              <a:cs typeface="Calibri"/>
            </a:rPr>
            <a:pPr algn="ctr"/>
            <a:t>38</a:t>
          </a:fld>
          <a:endParaRPr lang="en-US" sz="213200" b="1">
            <a:solidFill>
              <a:srgbClr val="FF0000"/>
            </a:solidFill>
            <a:latin typeface="Gotham Black" pitchFamily="50" charset="0"/>
            <a:ea typeface="Verdana" panose="020B0604030504040204" pitchFamily="34" charset="0"/>
            <a:cs typeface="Aharoni" panose="02010803020104030203" pitchFamily="2" charset="-79"/>
          </a:endParaRPr>
        </a:p>
      </xdr:txBody>
    </xdr:sp>
    <xdr:clientData/>
  </xdr:twoCellAnchor>
  <xdr:twoCellAnchor>
    <xdr:from>
      <xdr:col>0</xdr:col>
      <xdr:colOff>1037865</xdr:colOff>
      <xdr:row>18</xdr:row>
      <xdr:rowOff>22465</xdr:rowOff>
    </xdr:from>
    <xdr:to>
      <xdr:col>6</xdr:col>
      <xdr:colOff>202182</xdr:colOff>
      <xdr:row>21</xdr:row>
      <xdr:rowOff>130295</xdr:rowOff>
    </xdr:to>
    <xdr:sp macro="" textlink="">
      <xdr:nvSpPr>
        <xdr:cNvPr id="5" name="TextBox 4">
          <a:extLst>
            <a:ext uri="{FF2B5EF4-FFF2-40B4-BE49-F238E27FC236}">
              <a16:creationId xmlns:a16="http://schemas.microsoft.com/office/drawing/2014/main" id="{44237C94-DC89-43AD-9054-2DCB3349DABD}"/>
            </a:ext>
          </a:extLst>
        </xdr:cNvPr>
        <xdr:cNvSpPr txBox="1"/>
      </xdr:nvSpPr>
      <xdr:spPr>
        <a:xfrm>
          <a:off x="1037865" y="3257371"/>
          <a:ext cx="3783043" cy="646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higher the number the more "Out of order" work was delivered. At half-way, more work is delivered out of the intended lanned order than delivered in the planned order.</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9F3771-59BE-4BC4-9781-B7EB1A4AA87D}" name="WorkTable" displayName="WorkTable" ref="A1:B8" totalsRowShown="0">
  <autoFilter ref="A1:B8" xr:uid="{C69F3771-59BE-4BC4-9781-B7EB1A4AA87D}"/>
  <tableColumns count="2">
    <tableColumn id="1" xr3:uid="{FD4980CD-A0D8-4A5C-AF13-91B4DAAFA785}" name="Planned Order"/>
    <tableColumn id="3" xr3:uid="{AA0C0A37-1AFE-4F74-B467-ED2EE754D93C}" name="Delivered Order"/>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FocusedObjective/FocusedObjective.Resources/raw/master/Spreadsheets/Team%20Dashboard.xlsx" TargetMode="External"/><Relationship Id="rId13" Type="http://schemas.openxmlformats.org/officeDocument/2006/relationships/hyperlink" Target="https://www.linkedin.com/in/troymagennis" TargetMode="External"/><Relationship Id="rId18" Type="http://schemas.openxmlformats.org/officeDocument/2006/relationships/drawing" Target="../drawings/drawing2.xml"/><Relationship Id="rId3" Type="http://schemas.openxmlformats.org/officeDocument/2006/relationships/hyperlink" Target="https://observablehq.com/@troymagennis/understanding-optimal-batch-size?collection=@troymagennis/agile-software-development" TargetMode="External"/><Relationship Id="rId7" Type="http://schemas.openxmlformats.org/officeDocument/2006/relationships/hyperlink" Target="https://github.com/FocusedObjective/FocusedObjective.Resources/raw/master/Spreadsheets/Multiple%20Feature%20Cut%20Line%20Forecaster.xlsx" TargetMode="External"/><Relationship Id="rId12" Type="http://schemas.openxmlformats.org/officeDocument/2006/relationships/hyperlink" Target="https://freebusy.io/data/data" TargetMode="External"/><Relationship Id="rId17" Type="http://schemas.openxmlformats.org/officeDocument/2006/relationships/hyperlink" Target="https://www.focusedobjective.com/w/" TargetMode="External"/><Relationship Id="rId2" Type="http://schemas.openxmlformats.org/officeDocument/2006/relationships/hyperlink" Target="https://observablehq.com/@troymagennis/story-point-velocity-or-throughput-forecasting-does-it-mat?collection=@troymagennis/agile-software-development" TargetMode="External"/><Relationship Id="rId16" Type="http://schemas.openxmlformats.org/officeDocument/2006/relationships/hyperlink" Target="https://observablehq.com/@troymagennis/introduction-to-monte-carlo-forecasting?collection=@troymagennis/agile-software-development" TargetMode="External"/><Relationship Id="rId1" Type="http://schemas.openxmlformats.org/officeDocument/2006/relationships/hyperlink" Target="https://observablehq.com/@troymagennis/how-much-improvement-do-i-get-by-adding-more-teams-or-people?collection=@troymagennis/agile-software-development" TargetMode="External"/><Relationship Id="rId6" Type="http://schemas.openxmlformats.org/officeDocument/2006/relationships/hyperlink" Target="https://observablehq.com/collection/@troymagennis/agile-software-development" TargetMode="External"/><Relationship Id="rId11" Type="http://schemas.openxmlformats.org/officeDocument/2006/relationships/hyperlink" Target="https://bit.ly/SimResources" TargetMode="External"/><Relationship Id="rId5" Type="http://schemas.openxmlformats.org/officeDocument/2006/relationships/hyperlink" Target="https://observablehq.com/@troymagennis/impact-of-multiple-team-dependencies-in-software-developm?collection=@troymagennis/agile-software-development" TargetMode="External"/><Relationship Id="rId15" Type="http://schemas.openxmlformats.org/officeDocument/2006/relationships/hyperlink" Target="mailto:troy.magennis@focusedobjective.com?subject=Forecasting%20Spreadsheets%20and%20stuff" TargetMode="External"/><Relationship Id="rId10" Type="http://schemas.openxmlformats.org/officeDocument/2006/relationships/hyperlink" Target="https://github.com/FocusedObjective/FocusedObjective.Resources/raw/master/Spreadsheets/Demand%20Forecasting.xlsx" TargetMode="External"/><Relationship Id="rId4" Type="http://schemas.openxmlformats.org/officeDocument/2006/relationships/hyperlink" Target="https://observablehq.com/@troymagennis/how-does-utilization-impact-lead-time-of-work?collection=@troymagennis/agile-software-development" TargetMode="External"/><Relationship Id="rId9" Type="http://schemas.openxmlformats.org/officeDocument/2006/relationships/hyperlink" Target="https://github.com/FocusedObjective/FocusedObjective.Resources/raw/master/Spreadsheets/Capability%20Matrix%20v2.xlsx" TargetMode="External"/><Relationship Id="rId14" Type="http://schemas.openxmlformats.org/officeDocument/2006/relationships/hyperlink" Target="https://twitter.com/t_magenni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33097-AAED-47FD-A91D-C6C703111143}">
  <sheetPr>
    <tabColor theme="7"/>
  </sheetPr>
  <dimension ref="A1:L8"/>
  <sheetViews>
    <sheetView tabSelected="1" zoomScale="144" zoomScaleNormal="100" workbookViewId="0">
      <selection activeCell="B6" sqref="B6"/>
    </sheetView>
  </sheetViews>
  <sheetFormatPr defaultRowHeight="14.25" x14ac:dyDescent="0.45"/>
  <cols>
    <col min="1" max="1" width="37.33203125" customWidth="1"/>
    <col min="2" max="2" width="34.73046875" customWidth="1"/>
  </cols>
  <sheetData>
    <row r="1" spans="1:12" ht="15.75" x14ac:dyDescent="0.5">
      <c r="A1" t="s">
        <v>0</v>
      </c>
      <c r="B1" t="s">
        <v>1</v>
      </c>
      <c r="D1" s="2" t="s">
        <v>7</v>
      </c>
      <c r="E1" s="1"/>
      <c r="F1" s="1"/>
      <c r="G1" s="1"/>
    </row>
    <row r="2" spans="1:12" x14ac:dyDescent="0.45">
      <c r="A2" t="s">
        <v>2</v>
      </c>
      <c r="B2" t="s">
        <v>34</v>
      </c>
      <c r="I2" s="16" t="s">
        <v>33</v>
      </c>
      <c r="J2" s="16"/>
      <c r="K2" s="16"/>
      <c r="L2" s="16"/>
    </row>
    <row r="3" spans="1:12" x14ac:dyDescent="0.45">
      <c r="A3" t="s">
        <v>3</v>
      </c>
      <c r="B3" t="s">
        <v>4</v>
      </c>
      <c r="D3" t="s">
        <v>11</v>
      </c>
      <c r="F3" t="s">
        <v>12</v>
      </c>
    </row>
    <row r="4" spans="1:12" x14ac:dyDescent="0.45">
      <c r="A4" t="s">
        <v>4</v>
      </c>
      <c r="B4" t="s">
        <v>3</v>
      </c>
      <c r="D4" s="3">
        <f>Calculations!G3</f>
        <v>17</v>
      </c>
      <c r="F4" s="3">
        <f>Calculations!F3</f>
        <v>38</v>
      </c>
    </row>
    <row r="5" spans="1:12" x14ac:dyDescent="0.45">
      <c r="A5" t="s">
        <v>5</v>
      </c>
      <c r="B5" t="s">
        <v>5</v>
      </c>
    </row>
    <row r="6" spans="1:12" x14ac:dyDescent="0.45">
      <c r="A6" t="s">
        <v>6</v>
      </c>
      <c r="B6" t="s">
        <v>59</v>
      </c>
    </row>
    <row r="7" spans="1:12" x14ac:dyDescent="0.45">
      <c r="A7" t="s">
        <v>35</v>
      </c>
      <c r="B7" t="s">
        <v>6</v>
      </c>
    </row>
    <row r="8" spans="1:12" x14ac:dyDescent="0.45">
      <c r="B8" t="s">
        <v>59</v>
      </c>
    </row>
  </sheetData>
  <phoneticPr fontId="2" type="noConversion"/>
  <conditionalFormatting sqref="A1:A1048576">
    <cfRule type="duplicateValues" dxfId="1" priority="2"/>
  </conditionalFormatting>
  <conditionalFormatting sqref="B1:B1048576">
    <cfRule type="duplicateValues" dxfId="0" priority="1"/>
  </conditionalFormatting>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945A-5436-41E8-9A29-E52FCA6040CC}">
  <sheetPr>
    <tabColor theme="4" tint="0.79998168889431442"/>
  </sheetPr>
  <dimension ref="A2:I25"/>
  <sheetViews>
    <sheetView workbookViewId="0">
      <selection activeCell="B36" sqref="B36"/>
    </sheetView>
  </sheetViews>
  <sheetFormatPr defaultRowHeight="14.25" x14ac:dyDescent="0.45"/>
  <cols>
    <col min="1" max="1" width="5.33203125" customWidth="1"/>
    <col min="2" max="2" width="107" customWidth="1"/>
    <col min="3" max="3" width="9.33203125" customWidth="1"/>
    <col min="4" max="4" width="50.265625" customWidth="1"/>
  </cols>
  <sheetData>
    <row r="2" spans="1:9" ht="19.899999999999999" thickBot="1" x14ac:dyDescent="0.65">
      <c r="B2" s="17" t="s">
        <v>36</v>
      </c>
    </row>
    <row r="3" spans="1:9" ht="18.399999999999999" thickTop="1" x14ac:dyDescent="0.55000000000000004">
      <c r="A3" s="18"/>
      <c r="B3" s="19" t="s">
        <v>37</v>
      </c>
      <c r="C3" s="18"/>
      <c r="D3" s="18"/>
      <c r="E3" s="18"/>
      <c r="F3" s="18"/>
      <c r="G3" s="18"/>
      <c r="H3" s="18"/>
      <c r="I3" s="18"/>
    </row>
    <row r="4" spans="1:9" ht="18" x14ac:dyDescent="0.55000000000000004">
      <c r="A4" s="18"/>
      <c r="B4" s="19" t="s">
        <v>38</v>
      </c>
      <c r="C4" s="18"/>
      <c r="D4" s="18"/>
      <c r="E4" s="18"/>
      <c r="F4" s="18"/>
      <c r="G4" s="18"/>
      <c r="H4" s="18"/>
      <c r="I4" s="18"/>
    </row>
    <row r="5" spans="1:9" ht="18" x14ac:dyDescent="0.55000000000000004">
      <c r="A5" s="18"/>
      <c r="B5" s="19" t="s">
        <v>39</v>
      </c>
      <c r="C5" s="18"/>
      <c r="D5" s="18"/>
      <c r="E5" s="18"/>
      <c r="F5" s="18"/>
      <c r="G5" s="18"/>
      <c r="H5" s="18"/>
      <c r="I5" s="18"/>
    </row>
    <row r="6" spans="1:9" ht="18" x14ac:dyDescent="0.55000000000000004">
      <c r="A6" s="18"/>
      <c r="B6" s="19" t="s">
        <v>40</v>
      </c>
      <c r="C6" s="18"/>
      <c r="D6" s="18"/>
      <c r="E6" s="18"/>
      <c r="F6" s="18"/>
      <c r="G6" s="18"/>
      <c r="H6" s="18"/>
      <c r="I6" s="18"/>
    </row>
    <row r="7" spans="1:9" ht="18" x14ac:dyDescent="0.55000000000000004">
      <c r="A7" s="18"/>
      <c r="B7" s="20" t="s">
        <v>41</v>
      </c>
      <c r="C7" s="18"/>
      <c r="D7" s="18"/>
      <c r="E7" s="18"/>
      <c r="F7" s="18"/>
      <c r="G7" s="18"/>
      <c r="H7" s="18"/>
      <c r="I7" s="18"/>
    </row>
    <row r="9" spans="1:9" ht="19.899999999999999" thickBot="1" x14ac:dyDescent="0.5">
      <c r="B9" s="21" t="s">
        <v>42</v>
      </c>
    </row>
    <row r="10" spans="1:9" ht="31.9" thickTop="1" x14ac:dyDescent="0.45">
      <c r="B10" s="22" t="s">
        <v>43</v>
      </c>
    </row>
    <row r="11" spans="1:9" ht="18" x14ac:dyDescent="0.45">
      <c r="B11" s="20" t="s">
        <v>44</v>
      </c>
    </row>
    <row r="12" spans="1:9" ht="18" x14ac:dyDescent="0.55000000000000004">
      <c r="A12" s="18"/>
      <c r="B12" s="20" t="s">
        <v>45</v>
      </c>
      <c r="C12" s="18"/>
      <c r="D12" s="18"/>
      <c r="E12" s="18"/>
      <c r="F12" s="18"/>
      <c r="G12" s="18"/>
      <c r="H12" s="18"/>
      <c r="I12" s="18"/>
    </row>
    <row r="13" spans="1:9" ht="18" x14ac:dyDescent="0.55000000000000004">
      <c r="A13" s="18"/>
      <c r="B13" s="20" t="s">
        <v>46</v>
      </c>
      <c r="C13" s="18"/>
      <c r="D13" s="18"/>
      <c r="E13" s="18"/>
      <c r="F13" s="18"/>
      <c r="G13" s="18"/>
      <c r="H13" s="18"/>
      <c r="I13" s="18"/>
    </row>
    <row r="14" spans="1:9" ht="18" x14ac:dyDescent="0.55000000000000004">
      <c r="A14" s="18"/>
      <c r="B14" s="20" t="s">
        <v>47</v>
      </c>
      <c r="C14" s="18"/>
      <c r="D14" s="18"/>
      <c r="E14" s="18"/>
      <c r="F14" s="18"/>
      <c r="G14" s="18"/>
      <c r="H14" s="18"/>
      <c r="I14" s="18"/>
    </row>
    <row r="15" spans="1:9" ht="18" x14ac:dyDescent="0.55000000000000004">
      <c r="A15" s="18"/>
      <c r="B15" s="20" t="s">
        <v>48</v>
      </c>
      <c r="C15" s="18"/>
      <c r="D15" s="18"/>
      <c r="E15" s="18"/>
      <c r="F15" s="18"/>
      <c r="G15" s="18"/>
      <c r="H15" s="18"/>
      <c r="I15" s="18"/>
    </row>
    <row r="16" spans="1:9" ht="18" x14ac:dyDescent="0.55000000000000004">
      <c r="A16" s="18"/>
      <c r="B16" s="20" t="s">
        <v>49</v>
      </c>
      <c r="C16" s="18"/>
      <c r="D16" s="18"/>
      <c r="E16" s="18"/>
      <c r="F16" s="18"/>
      <c r="G16" s="18"/>
      <c r="H16" s="18"/>
      <c r="I16" s="18"/>
    </row>
    <row r="17" spans="1:9" ht="18" x14ac:dyDescent="0.55000000000000004">
      <c r="A17" s="18"/>
      <c r="B17" s="20" t="s">
        <v>50</v>
      </c>
      <c r="C17" s="18"/>
      <c r="D17" s="18"/>
      <c r="E17" s="18"/>
      <c r="F17" s="18"/>
      <c r="G17" s="18"/>
      <c r="H17" s="18"/>
      <c r="I17" s="18"/>
    </row>
    <row r="18" spans="1:9" x14ac:dyDescent="0.45">
      <c r="B18" s="23"/>
    </row>
    <row r="19" spans="1:9" ht="19.899999999999999" thickBot="1" x14ac:dyDescent="0.5">
      <c r="B19" s="21" t="s">
        <v>51</v>
      </c>
    </row>
    <row r="20" spans="1:9" ht="16.149999999999999" thickTop="1" x14ac:dyDescent="0.45">
      <c r="B20" s="22" t="s">
        <v>52</v>
      </c>
    </row>
    <row r="21" spans="1:9" ht="18" x14ac:dyDescent="0.55000000000000004">
      <c r="A21" s="18"/>
      <c r="B21" s="20" t="s">
        <v>53</v>
      </c>
      <c r="C21" s="18"/>
      <c r="D21" s="18"/>
      <c r="E21" s="18"/>
      <c r="F21" s="18"/>
      <c r="G21" s="18"/>
      <c r="H21" s="18"/>
      <c r="I21" s="18"/>
    </row>
    <row r="22" spans="1:9" ht="18" x14ac:dyDescent="0.55000000000000004">
      <c r="A22" s="18"/>
      <c r="B22" s="20" t="s">
        <v>54</v>
      </c>
      <c r="C22" s="18"/>
      <c r="D22" s="18"/>
      <c r="E22" s="18"/>
      <c r="F22" s="18"/>
      <c r="G22" s="18"/>
      <c r="H22" s="18"/>
      <c r="I22" s="18"/>
    </row>
    <row r="23" spans="1:9" ht="18" x14ac:dyDescent="0.55000000000000004">
      <c r="A23" s="18"/>
      <c r="B23" s="20" t="s">
        <v>55</v>
      </c>
      <c r="C23" s="18"/>
      <c r="D23" s="18"/>
      <c r="E23" s="18"/>
      <c r="F23" s="18"/>
      <c r="G23" s="18"/>
      <c r="H23" s="18"/>
      <c r="I23" s="18"/>
    </row>
    <row r="24" spans="1:9" ht="18" x14ac:dyDescent="0.55000000000000004">
      <c r="A24" s="18"/>
      <c r="B24" s="20" t="s">
        <v>56</v>
      </c>
      <c r="C24" s="18"/>
      <c r="D24" s="18"/>
      <c r="E24" s="18"/>
      <c r="F24" s="18"/>
      <c r="G24" s="18"/>
      <c r="H24" s="18"/>
      <c r="I24" s="18"/>
    </row>
    <row r="25" spans="1:9" ht="18" x14ac:dyDescent="0.55000000000000004">
      <c r="A25" s="18"/>
      <c r="B25" s="20" t="s">
        <v>57</v>
      </c>
      <c r="C25" s="18"/>
      <c r="D25" s="18"/>
      <c r="E25" s="18"/>
      <c r="F25" s="18"/>
      <c r="G25" s="18"/>
      <c r="H25" s="18"/>
      <c r="I25" s="18"/>
    </row>
  </sheetData>
  <hyperlinks>
    <hyperlink ref="B12" r:id="rId1" display="https://observablehq.com/@troymagennis/how-much-improvement-do-i-get-by-adding-more-teams-or-people?collection=@troymagennis/agile-software-development" xr:uid="{CA6B28B5-7BCD-4C2A-A600-FA66AD169A87}"/>
    <hyperlink ref="B13" r:id="rId2" display="https://observablehq.com/@troymagennis/story-point-velocity-or-throughput-forecasting-does-it-mat?collection=@troymagennis/agile-software-development" xr:uid="{10D3B122-211B-4520-8C39-6948A1D1E270}"/>
    <hyperlink ref="B14" r:id="rId3" display="https://observablehq.com/@troymagennis/understanding-optimal-batch-size?collection=@troymagennis/agile-software-development" xr:uid="{9E472826-2617-4A77-A0BB-561E006AFBAA}"/>
    <hyperlink ref="B15" r:id="rId4" display="https://observablehq.com/@troymagennis/how-does-utilization-impact-lead-time-of-work?collection=@troymagennis/agile-software-development" xr:uid="{833BBC94-B18D-40C6-9B07-2259EAE46077}"/>
    <hyperlink ref="B16" r:id="rId5" display="https://observablehq.com/@troymagennis/impact-of-multiple-team-dependencies-in-software-developm?collection=@troymagennis/agile-software-development" xr:uid="{20187FD1-9E0A-4885-B1DA-3259D58C7E8A}"/>
    <hyperlink ref="B17" r:id="rId6" display="https://observablehq.com/collection/@troymagennis/agile-software-development" xr:uid="{2C14F735-D67D-425F-B315-29419EA9DC95}"/>
    <hyperlink ref="B21" r:id="rId7" display="https://github.com/FocusedObjective/FocusedObjective.Resources/raw/master/Spreadsheets/Multiple Feature Cut Line Forecaster.xlsx" xr:uid="{B7836826-52C5-4DDE-8565-B5EFA955E4D0}"/>
    <hyperlink ref="B22" r:id="rId8" display="https://github.com/FocusedObjective/FocusedObjective.Resources/raw/master/Spreadsheets/Team Dashboard.xlsx" xr:uid="{DFFB615C-135C-4971-9F0F-322153A846B3}"/>
    <hyperlink ref="B23" r:id="rId9" display="https://github.com/FocusedObjective/FocusedObjective.Resources/raw/master/Spreadsheets/Capability Matrix v2.xlsx" xr:uid="{4B86A4C9-C860-4BF4-8649-7BCE3ED1D855}"/>
    <hyperlink ref="B24" r:id="rId10" display="https://github.com/FocusedObjective/FocusedObjective.Resources/raw/master/Spreadsheets/Demand Forecasting.xlsx" xr:uid="{EDEDF5F4-20AA-466C-9AF6-16C96AA6CF3B}"/>
    <hyperlink ref="B25" r:id="rId11" display="https://bit.ly/SimResources" xr:uid="{1170D07D-E5F5-4562-AF34-0DAC6C230DD7}"/>
    <hyperlink ref="B6" r:id="rId12" xr:uid="{DD2186FD-C60D-4C88-98C4-20F29374507C}"/>
    <hyperlink ref="B5" r:id="rId13" xr:uid="{F9FE29FE-5688-4BC4-9C0F-A2C7D14CE7F5}"/>
    <hyperlink ref="B4" r:id="rId14" xr:uid="{06F35968-ABF2-433D-AF36-A1E849504921}"/>
    <hyperlink ref="B3" r:id="rId15" xr:uid="{6CE423DC-8B8E-478E-8A01-C404D41BCE20}"/>
    <hyperlink ref="B11" r:id="rId16" display="Introduction to Monte Carlo Simulation" xr:uid="{A3461703-771D-4B0B-B1DE-CE3BCDD7252A}"/>
    <hyperlink ref="B7" r:id="rId17" xr:uid="{49BAA14A-CD30-427B-B262-0F52D4EDEDAF}"/>
  </hyperlinks>
  <pageMargins left="0.7" right="0.7" top="0.75" bottom="0.75" header="0.3" footer="0.3"/>
  <drawing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004C-D2A8-49A7-83A4-5C3CBC533CA2}">
  <sheetPr>
    <tabColor theme="6"/>
  </sheetPr>
  <dimension ref="A1:J101"/>
  <sheetViews>
    <sheetView zoomScale="121" workbookViewId="0">
      <selection activeCell="J3" sqref="J3"/>
    </sheetView>
  </sheetViews>
  <sheetFormatPr defaultRowHeight="14.25" x14ac:dyDescent="0.45"/>
  <cols>
    <col min="1" max="1" width="21.86328125" customWidth="1"/>
    <col min="2" max="2" width="16.59765625" customWidth="1"/>
    <col min="3" max="3" width="16.73046875" customWidth="1"/>
    <col min="4" max="4" width="19.53125" customWidth="1"/>
    <col min="6" max="6" width="18.53125" customWidth="1"/>
    <col min="7" max="7" width="21.1328125" customWidth="1"/>
    <col min="12" max="12" width="19.53125" customWidth="1"/>
  </cols>
  <sheetData>
    <row r="1" spans="1:10" x14ac:dyDescent="0.45">
      <c r="A1" t="s">
        <v>8</v>
      </c>
      <c r="B1" t="s">
        <v>13</v>
      </c>
      <c r="C1" t="s">
        <v>14</v>
      </c>
      <c r="D1" t="s">
        <v>15</v>
      </c>
    </row>
    <row r="2" spans="1:10" x14ac:dyDescent="0.45">
      <c r="A2" s="4" t="str" cm="1">
        <f t="array" ref="A2:A8">IF(IFERROR(MATCH(WorkTable[Delivered Order], WorkTable[Planned Order],0), 0)&gt;0, "Planned","Unplanned")</f>
        <v>Unplanned</v>
      </c>
      <c r="B2" s="4" t="e" cm="1">
        <f t="array" ref="B2:B8">MATCH(WorkTable[Delivered Order], WorkTable[Planned Order],0)</f>
        <v>#N/A</v>
      </c>
      <c r="C2" s="4">
        <f>IF(A2&lt;&gt;"",IF(A2="Unplanned", COUNTA(WorkTable[Planned Order])+1,(ABS((ROW()-1)-B2))),"")</f>
        <v>7</v>
      </c>
      <c r="D2" s="4" cm="1">
        <f t="array" ref="D2:D8" xml:space="preserve">  IF(WorkTable[Planned Order] &lt;&gt;"",  IF(ISNA(MATCH(WorkTable[Planned Order], WorkTable[Delivered Order],0)), COUNTA(WorkTable[Planned Order])+1,0), "")</f>
        <v>7</v>
      </c>
      <c r="F2" t="s">
        <v>9</v>
      </c>
      <c r="G2" t="s">
        <v>10</v>
      </c>
      <c r="I2" t="s">
        <v>18</v>
      </c>
      <c r="J2" t="s">
        <v>19</v>
      </c>
    </row>
    <row r="3" spans="1:10" x14ac:dyDescent="0.45">
      <c r="A3" s="4" t="str">
        <v>Planned</v>
      </c>
      <c r="B3" s="4">
        <v>3</v>
      </c>
      <c r="C3" s="4">
        <f>IF(A3&lt;&gt;"",IF(A3="Unplanned", COUNTA(WorkTable[Planned Order])+1,(ABS((ROW()-1)-B3))),"")</f>
        <v>1</v>
      </c>
      <c r="D3" s="4">
        <v>0</v>
      </c>
      <c r="F3" s="4">
        <f>SUM(C:C)+SUM(D:D)</f>
        <v>38</v>
      </c>
      <c r="G3" s="4">
        <f>SUMIF(A:A, "Planned", C:C)+ SUM(D:D)</f>
        <v>17</v>
      </c>
      <c r="I3" s="4">
        <v>0</v>
      </c>
      <c r="J3" s="4">
        <f>(COUNTA(WorkTable[Planned Order])+1)*(COUNTIF(C:C, "&gt;=0")+COUNTIF(D:D, "&gt;=0"))</f>
        <v>91</v>
      </c>
    </row>
    <row r="4" spans="1:10" x14ac:dyDescent="0.45">
      <c r="A4" s="4" t="str">
        <v>Planned</v>
      </c>
      <c r="B4" s="4">
        <v>2</v>
      </c>
      <c r="C4" s="4">
        <f>IF(A4&lt;&gt;"",IF(A4="Unplanned", COUNTA(WorkTable[Planned Order])+1,(ABS((ROW()-1)-B4))),"")</f>
        <v>1</v>
      </c>
      <c r="D4" s="4">
        <v>0</v>
      </c>
    </row>
    <row r="5" spans="1:10" x14ac:dyDescent="0.45">
      <c r="A5" s="4" t="str">
        <v>Planned</v>
      </c>
      <c r="B5" s="4">
        <v>4</v>
      </c>
      <c r="C5" s="4">
        <f>IF(A5&lt;&gt;"",IF(A5="Unplanned", COUNTA(WorkTable[Planned Order])+1,(ABS((ROW()-1)-B5))),"")</f>
        <v>0</v>
      </c>
      <c r="D5" s="4">
        <v>0</v>
      </c>
      <c r="F5" t="s">
        <v>16</v>
      </c>
      <c r="G5" t="s">
        <v>17</v>
      </c>
    </row>
    <row r="6" spans="1:10" x14ac:dyDescent="0.45">
      <c r="A6" s="4" t="str">
        <v>Unplanned</v>
      </c>
      <c r="B6" s="4" t="e">
        <v>#N/A</v>
      </c>
      <c r="C6" s="4">
        <f>IF(A6&lt;&gt;"",IF(A6="Unplanned", COUNTA(WorkTable[Planned Order])+1,(ABS((ROW()-1)-B6))),"")</f>
        <v>7</v>
      </c>
      <c r="D6" s="4">
        <v>0</v>
      </c>
      <c r="F6" s="4">
        <f>COUNTIF(A:A,"Planned")</f>
        <v>4</v>
      </c>
      <c r="G6" s="4">
        <f>COUNTIF(A:A,"Unplanned")</f>
        <v>3</v>
      </c>
    </row>
    <row r="7" spans="1:10" x14ac:dyDescent="0.45">
      <c r="A7" s="4" t="str">
        <v>Planned</v>
      </c>
      <c r="B7" s="4">
        <v>5</v>
      </c>
      <c r="C7" s="4">
        <f>IF(A7&lt;&gt;"",IF(A7="Unplanned", COUNTA(WorkTable[Planned Order])+1,(ABS((ROW()-1)-B7))),"")</f>
        <v>1</v>
      </c>
      <c r="D7" s="4">
        <v>7</v>
      </c>
    </row>
    <row r="8" spans="1:10" x14ac:dyDescent="0.45">
      <c r="A8" s="4" t="str">
        <v>Unplanned</v>
      </c>
      <c r="B8" s="4" t="e">
        <v>#N/A</v>
      </c>
      <c r="C8" s="4">
        <f>IF(A8&lt;&gt;"",IF(A8="Unplanned", COUNTA(WorkTable[Planned Order])+1,(ABS((ROW()-1)-B8))),"")</f>
        <v>7</v>
      </c>
      <c r="D8" s="4" t="str">
        <v/>
      </c>
    </row>
    <row r="9" spans="1:10" x14ac:dyDescent="0.45">
      <c r="A9" s="4"/>
      <c r="B9" s="4"/>
      <c r="C9" s="4" t="str">
        <f>IF(A9&lt;&gt;"",IF(A9="Unplanned", COUNTA(WorkTable[Planned Order])+1,(ABS((ROW()-1)-B9))),"")</f>
        <v/>
      </c>
      <c r="D9" s="4"/>
    </row>
    <row r="10" spans="1:10" x14ac:dyDescent="0.45">
      <c r="A10" s="4"/>
      <c r="B10" s="4"/>
      <c r="C10" s="4" t="str">
        <f>IF(A10&lt;&gt;"",IF(A10="Unplanned", COUNTA(WorkTable[Planned Order])+1,(ABS((ROW()-1)-B10))),"")</f>
        <v/>
      </c>
      <c r="D10" s="4"/>
    </row>
    <row r="11" spans="1:10" x14ac:dyDescent="0.45">
      <c r="A11" s="4"/>
      <c r="B11" s="4"/>
      <c r="C11" s="4" t="str">
        <f>IF(A11&lt;&gt;"",IF(A11="Unplanned", COUNTA(WorkTable[Planned Order])+1,(ABS((ROW()-1)-B11))),"")</f>
        <v/>
      </c>
      <c r="D11" s="4"/>
    </row>
    <row r="12" spans="1:10" x14ac:dyDescent="0.45">
      <c r="A12" s="4"/>
      <c r="B12" s="4"/>
      <c r="C12" s="4" t="str">
        <f>IF(A12&lt;&gt;"",IF(A12="Unplanned", COUNTA(WorkTable[Planned Order])+1,(ABS((ROW()-1)-B12))),"")</f>
        <v/>
      </c>
      <c r="D12" s="4"/>
    </row>
    <row r="13" spans="1:10" x14ac:dyDescent="0.45">
      <c r="A13" s="4"/>
      <c r="B13" s="4"/>
      <c r="C13" s="4" t="str">
        <f>IF(A13&lt;&gt;"",IF(A13="Unplanned", COUNTA(WorkTable[Planned Order])+1,(ABS((ROW()-1)-B13))),"")</f>
        <v/>
      </c>
      <c r="D13" s="4"/>
    </row>
    <row r="14" spans="1:10" x14ac:dyDescent="0.45">
      <c r="A14" s="4"/>
      <c r="B14" s="4"/>
      <c r="C14" s="4" t="str">
        <f>IF(A14&lt;&gt;"",IF(A14="Unplanned", COUNTA(WorkTable[Planned Order])+1,(ABS((ROW()-1)-B14))),"")</f>
        <v/>
      </c>
      <c r="D14" s="4"/>
    </row>
    <row r="15" spans="1:10" x14ac:dyDescent="0.45">
      <c r="A15" s="4"/>
      <c r="B15" s="4"/>
      <c r="C15" s="4" t="str">
        <f>IF(A15&lt;&gt;"",IF(A15="Unplanned", COUNTA(WorkTable[Planned Order])+1,(ABS((ROW()-1)-B15))),"")</f>
        <v/>
      </c>
      <c r="D15" s="4"/>
    </row>
    <row r="16" spans="1:10" x14ac:dyDescent="0.45">
      <c r="A16" s="4"/>
      <c r="B16" s="4"/>
      <c r="C16" s="4" t="str">
        <f>IF(A16&lt;&gt;"",IF(A16="Unplanned", COUNTA(WorkTable[Planned Order])+1,(ABS((ROW()-1)-B16))),"")</f>
        <v/>
      </c>
      <c r="D16" s="4"/>
    </row>
    <row r="17" spans="1:4" x14ac:dyDescent="0.45">
      <c r="A17" s="4"/>
      <c r="B17" s="4"/>
      <c r="C17" s="4" t="str">
        <f>IF(A17&lt;&gt;"",IF(A17="Unplanned", COUNTA(WorkTable[Planned Order])+1,(ABS((ROW()-1)-B17))),"")</f>
        <v/>
      </c>
      <c r="D17" s="4"/>
    </row>
    <row r="18" spans="1:4" x14ac:dyDescent="0.45">
      <c r="A18" s="4"/>
      <c r="B18" s="4"/>
      <c r="C18" s="4" t="str">
        <f>IF(A18&lt;&gt;"",IF(A18="Unplanned", COUNTA(WorkTable[Planned Order])+1,(ABS((ROW()-1)-B18))),"")</f>
        <v/>
      </c>
      <c r="D18" s="4"/>
    </row>
    <row r="19" spans="1:4" x14ac:dyDescent="0.45">
      <c r="A19" s="4"/>
      <c r="B19" s="4"/>
      <c r="C19" s="4" t="str">
        <f>IF(A19&lt;&gt;"",IF(A19="Unplanned", COUNTA(WorkTable[Planned Order])+1,(ABS((ROW()-1)-B19))),"")</f>
        <v/>
      </c>
      <c r="D19" s="4"/>
    </row>
    <row r="20" spans="1:4" x14ac:dyDescent="0.45">
      <c r="A20" s="4"/>
      <c r="B20" s="4"/>
      <c r="C20" s="4" t="str">
        <f>IF(A20&lt;&gt;"",IF(A20="Unplanned", COUNTA(WorkTable[Planned Order])+1,(ABS((ROW()-1)-B20))),"")</f>
        <v/>
      </c>
      <c r="D20" s="4"/>
    </row>
    <row r="21" spans="1:4" x14ac:dyDescent="0.45">
      <c r="A21" s="4"/>
      <c r="B21" s="4"/>
      <c r="C21" s="4" t="str">
        <f>IF(A21&lt;&gt;"",IF(A21="Unplanned", COUNTA(WorkTable[Planned Order])+1,(ABS((ROW()-1)-B21))),"")</f>
        <v/>
      </c>
      <c r="D21" s="4"/>
    </row>
    <row r="22" spans="1:4" x14ac:dyDescent="0.45">
      <c r="A22" s="4"/>
      <c r="B22" s="4"/>
      <c r="C22" s="4" t="str">
        <f>IF(A22&lt;&gt;"",IF(A22="Unplanned", COUNTA(WorkTable[Planned Order])+1,(ABS((ROW()-1)-B22))),"")</f>
        <v/>
      </c>
      <c r="D22" s="4"/>
    </row>
    <row r="23" spans="1:4" x14ac:dyDescent="0.45">
      <c r="A23" s="4"/>
      <c r="B23" s="4"/>
      <c r="C23" s="4" t="str">
        <f>IF(A23&lt;&gt;"",IF(A23="Unplanned", COUNTA(WorkTable[Planned Order])+1,(ABS((ROW()-1)-B23))),"")</f>
        <v/>
      </c>
      <c r="D23" s="4"/>
    </row>
    <row r="24" spans="1:4" x14ac:dyDescent="0.45">
      <c r="A24" s="4"/>
      <c r="B24" s="4"/>
      <c r="C24" s="4" t="str">
        <f>IF(A24&lt;&gt;"",IF(A24="Unplanned", COUNTA(WorkTable[Planned Order])+1,(ABS((ROW()-1)-B24))),"")</f>
        <v/>
      </c>
      <c r="D24" s="4"/>
    </row>
    <row r="25" spans="1:4" x14ac:dyDescent="0.45">
      <c r="A25" s="4"/>
      <c r="B25" s="4"/>
      <c r="C25" s="4" t="str">
        <f>IF(A25&lt;&gt;"",IF(A25="Unplanned", COUNTA(WorkTable[Planned Order])+1,(ABS((ROW()-1)-B25))),"")</f>
        <v/>
      </c>
      <c r="D25" s="4"/>
    </row>
    <row r="26" spans="1:4" x14ac:dyDescent="0.45">
      <c r="A26" s="4"/>
      <c r="B26" s="4"/>
      <c r="C26" s="4" t="str">
        <f>IF(A26&lt;&gt;"",IF(A26="Unplanned", COUNTA(WorkTable[Planned Order])+1,(ABS((ROW()-1)-B26))),"")</f>
        <v/>
      </c>
      <c r="D26" s="4"/>
    </row>
    <row r="27" spans="1:4" x14ac:dyDescent="0.45">
      <c r="A27" s="4"/>
      <c r="B27" s="4"/>
      <c r="C27" s="4" t="str">
        <f>IF(A27&lt;&gt;"",IF(A27="Unplanned", COUNTA(WorkTable[Planned Order])+1,(ABS((ROW()-1)-B27))),"")</f>
        <v/>
      </c>
      <c r="D27" s="4"/>
    </row>
    <row r="28" spans="1:4" x14ac:dyDescent="0.45">
      <c r="A28" s="4"/>
      <c r="B28" s="4"/>
      <c r="C28" s="4" t="str">
        <f>IF(A28&lt;&gt;"",IF(A28="Unplanned", COUNTA(WorkTable[Planned Order])+1,(ABS((ROW()-1)-B28))),"")</f>
        <v/>
      </c>
      <c r="D28" s="4"/>
    </row>
    <row r="29" spans="1:4" x14ac:dyDescent="0.45">
      <c r="A29" s="4"/>
      <c r="B29" s="4"/>
      <c r="C29" s="4" t="str">
        <f>IF(A29&lt;&gt;"",IF(A29="Unplanned", COUNTA(WorkTable[Planned Order])+1,(ABS((ROW()-1)-B29))),"")</f>
        <v/>
      </c>
      <c r="D29" s="4"/>
    </row>
    <row r="30" spans="1:4" x14ac:dyDescent="0.45">
      <c r="A30" s="4"/>
      <c r="B30" s="4"/>
      <c r="C30" s="4" t="str">
        <f>IF(A30&lt;&gt;"",IF(A30="Unplanned", COUNTA(WorkTable[Planned Order])+1,(ABS((ROW()-1)-B30))),"")</f>
        <v/>
      </c>
      <c r="D30" s="4"/>
    </row>
    <row r="31" spans="1:4" x14ac:dyDescent="0.45">
      <c r="A31" s="4"/>
      <c r="B31" s="4"/>
      <c r="C31" s="4" t="str">
        <f>IF(A31&lt;&gt;"",IF(A31="Unplanned", COUNTA(WorkTable[Planned Order])+1,(ABS((ROW()-1)-B31))),"")</f>
        <v/>
      </c>
      <c r="D31" s="4"/>
    </row>
    <row r="32" spans="1:4" x14ac:dyDescent="0.45">
      <c r="A32" s="4"/>
      <c r="B32" s="4"/>
      <c r="C32" s="4" t="str">
        <f>IF(A32&lt;&gt;"",IF(A32="Unplanned", COUNTA(WorkTable[Planned Order])+1,(ABS((ROW()-1)-B32))),"")</f>
        <v/>
      </c>
      <c r="D32" s="4"/>
    </row>
    <row r="33" spans="1:4" x14ac:dyDescent="0.45">
      <c r="A33" s="4"/>
      <c r="B33" s="4"/>
      <c r="C33" s="4" t="str">
        <f>IF(A33&lt;&gt;"",IF(A33="Unplanned", COUNTA(WorkTable[Planned Order])+1,(ABS((ROW()-1)-B33))),"")</f>
        <v/>
      </c>
      <c r="D33" s="4"/>
    </row>
    <row r="34" spans="1:4" x14ac:dyDescent="0.45">
      <c r="A34" s="4"/>
      <c r="B34" s="4"/>
      <c r="C34" s="4" t="str">
        <f>IF(A34&lt;&gt;"",IF(A34="Unplanned", COUNTA(WorkTable[Planned Order])+1,(ABS((ROW()-1)-B34))),"")</f>
        <v/>
      </c>
      <c r="D34" s="4"/>
    </row>
    <row r="35" spans="1:4" x14ac:dyDescent="0.45">
      <c r="A35" s="4"/>
      <c r="B35" s="4"/>
      <c r="C35" s="4" t="str">
        <f>IF(A35&lt;&gt;"",IF(A35="Unplanned", COUNTA(WorkTable[Planned Order])+1,(ABS((ROW()-1)-B35))),"")</f>
        <v/>
      </c>
      <c r="D35" s="4"/>
    </row>
    <row r="36" spans="1:4" x14ac:dyDescent="0.45">
      <c r="A36" s="4"/>
      <c r="B36" s="4"/>
      <c r="C36" s="4" t="str">
        <f>IF(A36&lt;&gt;"",IF(A36="Unplanned", COUNTA(WorkTable[Planned Order])+1,(ABS((ROW()-1)-B36))),"")</f>
        <v/>
      </c>
      <c r="D36" s="4"/>
    </row>
    <row r="37" spans="1:4" x14ac:dyDescent="0.45">
      <c r="A37" s="4"/>
      <c r="B37" s="4"/>
      <c r="C37" s="4" t="str">
        <f>IF(A37&lt;&gt;"",IF(A37="Unplanned", COUNTA(WorkTable[Planned Order])+1,(ABS((ROW()-1)-B37))),"")</f>
        <v/>
      </c>
      <c r="D37" s="4"/>
    </row>
    <row r="38" spans="1:4" x14ac:dyDescent="0.45">
      <c r="A38" s="4"/>
      <c r="B38" s="4"/>
      <c r="C38" s="4" t="str">
        <f>IF(A38&lt;&gt;"",IF(A38="Unplanned", COUNTA(WorkTable[Planned Order])+1,(ABS((ROW()-1)-B38))),"")</f>
        <v/>
      </c>
      <c r="D38" s="4"/>
    </row>
    <row r="39" spans="1:4" x14ac:dyDescent="0.45">
      <c r="A39" s="4"/>
      <c r="B39" s="4"/>
      <c r="C39" s="4" t="str">
        <f>IF(A39&lt;&gt;"",IF(A39="Unplanned", COUNTA(WorkTable[Planned Order])+1,(ABS((ROW()-1)-B39))),"")</f>
        <v/>
      </c>
      <c r="D39" s="4"/>
    </row>
    <row r="40" spans="1:4" x14ac:dyDescent="0.45">
      <c r="A40" s="4"/>
      <c r="B40" s="4"/>
      <c r="C40" s="4" t="str">
        <f>IF(A40&lt;&gt;"",IF(A40="Unplanned", COUNTA(WorkTable[Planned Order])+1,(ABS((ROW()-1)-B40))),"")</f>
        <v/>
      </c>
      <c r="D40" s="4"/>
    </row>
    <row r="41" spans="1:4" x14ac:dyDescent="0.45">
      <c r="A41" s="4"/>
      <c r="B41" s="4"/>
      <c r="C41" s="4" t="str">
        <f>IF(A41&lt;&gt;"",IF(A41="Unplanned", COUNTA(WorkTable[Planned Order])+1,(ABS((ROW()-1)-B41))),"")</f>
        <v/>
      </c>
      <c r="D41" s="4"/>
    </row>
    <row r="42" spans="1:4" x14ac:dyDescent="0.45">
      <c r="A42" s="4"/>
      <c r="B42" s="4"/>
      <c r="C42" s="4" t="str">
        <f>IF(A42&lt;&gt;"",IF(A42="Unplanned", COUNTA(WorkTable[Planned Order])+1,(ABS((ROW()-1)-B42))),"")</f>
        <v/>
      </c>
      <c r="D42" s="4"/>
    </row>
    <row r="43" spans="1:4" x14ac:dyDescent="0.45">
      <c r="A43" s="4"/>
      <c r="B43" s="4"/>
      <c r="C43" s="4" t="str">
        <f>IF(A43&lt;&gt;"",IF(A43="Unplanned", COUNTA(WorkTable[Planned Order])+1,(ABS((ROW()-1)-B43))),"")</f>
        <v/>
      </c>
      <c r="D43" s="4"/>
    </row>
    <row r="44" spans="1:4" x14ac:dyDescent="0.45">
      <c r="A44" s="4"/>
      <c r="B44" s="4"/>
      <c r="C44" s="4" t="str">
        <f>IF(A44&lt;&gt;"",IF(A44="Unplanned", COUNTA(WorkTable[Planned Order])+1,(ABS((ROW()-1)-B44))),"")</f>
        <v/>
      </c>
      <c r="D44" s="4"/>
    </row>
    <row r="45" spans="1:4" x14ac:dyDescent="0.45">
      <c r="A45" s="4"/>
      <c r="B45" s="4"/>
      <c r="C45" s="4" t="str">
        <f>IF(A45&lt;&gt;"",IF(A45="Unplanned", COUNTA(WorkTable[Planned Order])+1,(ABS((ROW()-1)-B45))),"")</f>
        <v/>
      </c>
      <c r="D45" s="4"/>
    </row>
    <row r="46" spans="1:4" x14ac:dyDescent="0.45">
      <c r="A46" s="4"/>
      <c r="B46" s="4"/>
      <c r="C46" s="4" t="str">
        <f>IF(A46&lt;&gt;"",IF(A46="Unplanned", COUNTA(WorkTable[Planned Order])+1,(ABS((ROW()-1)-B46))),"")</f>
        <v/>
      </c>
      <c r="D46" s="4"/>
    </row>
    <row r="47" spans="1:4" x14ac:dyDescent="0.45">
      <c r="A47" s="4"/>
      <c r="B47" s="4"/>
      <c r="C47" s="4" t="str">
        <f>IF(A47&lt;&gt;"",IF(A47="Unplanned", COUNTA(WorkTable[Planned Order])+1,(ABS((ROW()-1)-B47))),"")</f>
        <v/>
      </c>
      <c r="D47" s="4"/>
    </row>
    <row r="48" spans="1:4" x14ac:dyDescent="0.45">
      <c r="A48" s="4"/>
      <c r="B48" s="4"/>
      <c r="C48" s="4" t="str">
        <f>IF(A48&lt;&gt;"",IF(A48="Unplanned", COUNTA(WorkTable[Planned Order])+1,(ABS((ROW()-1)-B48))),"")</f>
        <v/>
      </c>
      <c r="D48" s="4"/>
    </row>
    <row r="49" spans="1:4" x14ac:dyDescent="0.45">
      <c r="A49" s="4"/>
      <c r="B49" s="4"/>
      <c r="C49" s="4" t="str">
        <f>IF(A49&lt;&gt;"",IF(A49="Unplanned", COUNTA(WorkTable[Planned Order])+1,(ABS((ROW()-1)-B49))),"")</f>
        <v/>
      </c>
      <c r="D49" s="4"/>
    </row>
    <row r="50" spans="1:4" x14ac:dyDescent="0.45">
      <c r="A50" s="4"/>
      <c r="B50" s="4"/>
      <c r="C50" s="4" t="str">
        <f>IF(A50&lt;&gt;"",IF(A50="Unplanned", COUNTA(WorkTable[Planned Order])+1,(ABS((ROW()-1)-B50))),"")</f>
        <v/>
      </c>
      <c r="D50" s="4"/>
    </row>
    <row r="51" spans="1:4" x14ac:dyDescent="0.45">
      <c r="A51" s="4"/>
      <c r="B51" s="4"/>
      <c r="C51" s="4" t="str">
        <f>IF(A51&lt;&gt;"",IF(A51="Unplanned", COUNTA(WorkTable[Planned Order])+1,(ABS((ROW()-1)-B51))),"")</f>
        <v/>
      </c>
      <c r="D51" s="4"/>
    </row>
    <row r="52" spans="1:4" x14ac:dyDescent="0.45">
      <c r="A52" s="4"/>
      <c r="B52" s="4"/>
      <c r="C52" s="4" t="str">
        <f>IF(A52&lt;&gt;"",IF(A52="Unplanned", COUNTA(WorkTable[Planned Order])+1,(ABS((ROW()-1)-B52))),"")</f>
        <v/>
      </c>
      <c r="D52" s="4"/>
    </row>
    <row r="53" spans="1:4" x14ac:dyDescent="0.45">
      <c r="A53" s="4"/>
      <c r="B53" s="4"/>
      <c r="C53" s="4" t="str">
        <f>IF(A53&lt;&gt;"",IF(A53="Unplanned", COUNTA(WorkTable[Planned Order])+1,(ABS((ROW()-1)-B53))),"")</f>
        <v/>
      </c>
      <c r="D53" s="4"/>
    </row>
    <row r="54" spans="1:4" x14ac:dyDescent="0.45">
      <c r="A54" s="4"/>
      <c r="B54" s="4"/>
      <c r="C54" s="4" t="str">
        <f>IF(A54&lt;&gt;"",IF(A54="Unplanned", COUNTA(WorkTable[Planned Order])+1,(ABS((ROW()-1)-B54))),"")</f>
        <v/>
      </c>
      <c r="D54" s="4"/>
    </row>
    <row r="55" spans="1:4" x14ac:dyDescent="0.45">
      <c r="A55" s="4"/>
      <c r="B55" s="4"/>
      <c r="C55" s="4" t="str">
        <f>IF(A55&lt;&gt;"",IF(A55="Unplanned", COUNTA(WorkTable[Planned Order])+1,(ABS((ROW()-1)-B55))),"")</f>
        <v/>
      </c>
      <c r="D55" s="4"/>
    </row>
    <row r="56" spans="1:4" x14ac:dyDescent="0.45">
      <c r="A56" s="4"/>
      <c r="B56" s="4"/>
      <c r="C56" s="4" t="str">
        <f>IF(A56&lt;&gt;"",IF(A56="Unplanned", COUNTA(WorkTable[Planned Order])+1,(ABS((ROW()-1)-B56))),"")</f>
        <v/>
      </c>
      <c r="D56" s="4"/>
    </row>
    <row r="57" spans="1:4" x14ac:dyDescent="0.45">
      <c r="A57" s="4"/>
      <c r="B57" s="4"/>
      <c r="C57" s="4" t="str">
        <f>IF(A57&lt;&gt;"",IF(A57="Unplanned", COUNTA(WorkTable[Planned Order])+1,(ABS((ROW()-1)-B57))),"")</f>
        <v/>
      </c>
      <c r="D57" s="4"/>
    </row>
    <row r="58" spans="1:4" x14ac:dyDescent="0.45">
      <c r="A58" s="4"/>
      <c r="B58" s="4"/>
      <c r="C58" s="4" t="str">
        <f>IF(A58&lt;&gt;"",IF(A58="Unplanned", COUNTA(WorkTable[Planned Order])+1,(ABS((ROW()-1)-B58))),"")</f>
        <v/>
      </c>
      <c r="D58" s="4"/>
    </row>
    <row r="59" spans="1:4" x14ac:dyDescent="0.45">
      <c r="A59" s="4"/>
      <c r="B59" s="4"/>
      <c r="C59" s="4" t="str">
        <f>IF(A59&lt;&gt;"",IF(A59="Unplanned", COUNTA(WorkTable[Planned Order])+1,(ABS((ROW()-1)-B59))),"")</f>
        <v/>
      </c>
      <c r="D59" s="4"/>
    </row>
    <row r="60" spans="1:4" x14ac:dyDescent="0.45">
      <c r="A60" s="4"/>
      <c r="B60" s="4"/>
      <c r="C60" s="4" t="str">
        <f>IF(A60&lt;&gt;"",IF(A60="Unplanned", COUNTA(WorkTable[Planned Order])+1,(ABS((ROW()-1)-B60))),"")</f>
        <v/>
      </c>
      <c r="D60" s="4"/>
    </row>
    <row r="61" spans="1:4" x14ac:dyDescent="0.45">
      <c r="A61" s="4"/>
      <c r="B61" s="4"/>
      <c r="C61" s="4" t="str">
        <f>IF(A61&lt;&gt;"",IF(A61="Unplanned", COUNTA(WorkTable[Planned Order])+1,(ABS((ROW()-1)-B61))),"")</f>
        <v/>
      </c>
      <c r="D61" s="4"/>
    </row>
    <row r="62" spans="1:4" x14ac:dyDescent="0.45">
      <c r="A62" s="4"/>
      <c r="B62" s="4"/>
      <c r="C62" s="4" t="str">
        <f>IF(A62&lt;&gt;"",IF(A62="Unplanned", COUNTA(WorkTable[Planned Order])+1,(ABS((ROW()-1)-B62))),"")</f>
        <v/>
      </c>
      <c r="D62" s="4"/>
    </row>
    <row r="63" spans="1:4" x14ac:dyDescent="0.45">
      <c r="A63" s="4"/>
      <c r="B63" s="4"/>
      <c r="C63" s="4" t="str">
        <f>IF(A63&lt;&gt;"",IF(A63="Unplanned", COUNTA(WorkTable[Planned Order])+1,(ABS((ROW()-1)-B63))),"")</f>
        <v/>
      </c>
      <c r="D63" s="4"/>
    </row>
    <row r="64" spans="1:4" x14ac:dyDescent="0.45">
      <c r="A64" s="4"/>
      <c r="B64" s="4"/>
      <c r="C64" s="4" t="str">
        <f>IF(A64&lt;&gt;"",IF(A64="Unplanned", COUNTA(WorkTable[Planned Order])+1,(ABS((ROW()-1)-B64))),"")</f>
        <v/>
      </c>
      <c r="D64" s="4"/>
    </row>
    <row r="65" spans="1:4" x14ac:dyDescent="0.45">
      <c r="A65" s="4"/>
      <c r="B65" s="4"/>
      <c r="C65" s="4" t="str">
        <f>IF(A65&lt;&gt;"",IF(A65="Unplanned", COUNTA(WorkTable[Planned Order])+1,(ABS((ROW()-1)-B65))),"")</f>
        <v/>
      </c>
      <c r="D65" s="4"/>
    </row>
    <row r="66" spans="1:4" x14ac:dyDescent="0.45">
      <c r="A66" s="4"/>
      <c r="B66" s="4"/>
      <c r="C66" s="4" t="str">
        <f>IF(A66&lt;&gt;"",IF(A66="Unplanned", COUNTA(WorkTable[Planned Order])+1,(ABS((ROW()-1)-B66))),"")</f>
        <v/>
      </c>
      <c r="D66" s="4"/>
    </row>
    <row r="67" spans="1:4" x14ac:dyDescent="0.45">
      <c r="A67" s="4"/>
      <c r="B67" s="4"/>
      <c r="C67" s="4" t="str">
        <f>IF(A67&lt;&gt;"",IF(A67="Unplanned", COUNTA(WorkTable[Planned Order])+1,(ABS((ROW()-1)-B67))),"")</f>
        <v/>
      </c>
      <c r="D67" s="4"/>
    </row>
    <row r="68" spans="1:4" x14ac:dyDescent="0.45">
      <c r="A68" s="4"/>
      <c r="B68" s="4"/>
      <c r="C68" s="4" t="str">
        <f>IF(A68&lt;&gt;"",IF(A68="Unplanned", COUNTA(WorkTable[Planned Order])+1,(ABS((ROW()-1)-B68))),"")</f>
        <v/>
      </c>
      <c r="D68" s="4"/>
    </row>
    <row r="69" spans="1:4" x14ac:dyDescent="0.45">
      <c r="A69" s="4"/>
      <c r="B69" s="4"/>
      <c r="C69" s="4" t="str">
        <f>IF(A69&lt;&gt;"",IF(A69="Unplanned", COUNTA(WorkTable[Planned Order])+1,(ABS((ROW()-1)-B69))),"")</f>
        <v/>
      </c>
      <c r="D69" s="4"/>
    </row>
    <row r="70" spans="1:4" x14ac:dyDescent="0.45">
      <c r="A70" s="4"/>
      <c r="B70" s="4"/>
      <c r="C70" s="4" t="str">
        <f>IF(A70&lt;&gt;"",IF(A70="Unplanned", COUNTA(WorkTable[Planned Order])+1,(ABS((ROW()-1)-B70))),"")</f>
        <v/>
      </c>
      <c r="D70" s="4"/>
    </row>
    <row r="71" spans="1:4" x14ac:dyDescent="0.45">
      <c r="A71" s="4"/>
      <c r="B71" s="4"/>
      <c r="C71" s="4" t="str">
        <f>IF(A71&lt;&gt;"",IF(A71="Unplanned", COUNTA(WorkTable[Planned Order])+1,(ABS((ROW()-1)-B71))),"")</f>
        <v/>
      </c>
      <c r="D71" s="4"/>
    </row>
    <row r="72" spans="1:4" x14ac:dyDescent="0.45">
      <c r="A72" s="4"/>
      <c r="B72" s="4"/>
      <c r="C72" s="4" t="str">
        <f>IF(A72&lt;&gt;"",IF(A72="Unplanned", COUNTA(WorkTable[Planned Order])+1,(ABS((ROW()-1)-B72))),"")</f>
        <v/>
      </c>
      <c r="D72" s="4"/>
    </row>
    <row r="73" spans="1:4" x14ac:dyDescent="0.45">
      <c r="A73" s="4"/>
      <c r="B73" s="4"/>
      <c r="C73" s="4" t="str">
        <f>IF(A73&lt;&gt;"",IF(A73="Unplanned", COUNTA(WorkTable[Planned Order])+1,(ABS((ROW()-1)-B73))),"")</f>
        <v/>
      </c>
      <c r="D73" s="4"/>
    </row>
    <row r="74" spans="1:4" x14ac:dyDescent="0.45">
      <c r="A74" s="4"/>
      <c r="B74" s="4"/>
      <c r="C74" s="4" t="str">
        <f>IF(A74&lt;&gt;"",IF(A74="Unplanned", COUNTA(WorkTable[Planned Order])+1,(ABS((ROW()-1)-B74))),"")</f>
        <v/>
      </c>
      <c r="D74" s="4"/>
    </row>
    <row r="75" spans="1:4" x14ac:dyDescent="0.45">
      <c r="A75" s="4"/>
      <c r="B75" s="4"/>
      <c r="C75" s="4" t="str">
        <f>IF(A75&lt;&gt;"",IF(A75="Unplanned", COUNTA(WorkTable[Planned Order])+1,(ABS((ROW()-1)-B75))),"")</f>
        <v/>
      </c>
      <c r="D75" s="4"/>
    </row>
    <row r="76" spans="1:4" x14ac:dyDescent="0.45">
      <c r="A76" s="4"/>
      <c r="B76" s="4"/>
      <c r="C76" s="4" t="str">
        <f>IF(A76&lt;&gt;"",IF(A76="Unplanned", COUNTA(WorkTable[Planned Order])+1,(ABS((ROW()-1)-B76))),"")</f>
        <v/>
      </c>
      <c r="D76" s="4"/>
    </row>
    <row r="77" spans="1:4" x14ac:dyDescent="0.45">
      <c r="A77" s="4"/>
      <c r="B77" s="4"/>
      <c r="C77" s="4" t="str">
        <f>IF(A77&lt;&gt;"",IF(A77="Unplanned", COUNTA(WorkTable[Planned Order])+1,(ABS((ROW()-1)-B77))),"")</f>
        <v/>
      </c>
      <c r="D77" s="4"/>
    </row>
    <row r="78" spans="1:4" x14ac:dyDescent="0.45">
      <c r="A78" s="4"/>
      <c r="B78" s="4"/>
      <c r="C78" s="4" t="str">
        <f>IF(A78&lt;&gt;"",IF(A78="Unplanned", COUNTA(WorkTable[Planned Order])+1,(ABS((ROW()-1)-B78))),"")</f>
        <v/>
      </c>
      <c r="D78" s="4"/>
    </row>
    <row r="79" spans="1:4" x14ac:dyDescent="0.45">
      <c r="A79" s="4"/>
      <c r="B79" s="4"/>
      <c r="C79" s="4" t="str">
        <f>IF(A79&lt;&gt;"",IF(A79="Unplanned", COUNTA(WorkTable[Planned Order])+1,(ABS((ROW()-1)-B79))),"")</f>
        <v/>
      </c>
      <c r="D79" s="4"/>
    </row>
    <row r="80" spans="1:4" x14ac:dyDescent="0.45">
      <c r="A80" s="4"/>
      <c r="B80" s="4"/>
      <c r="C80" s="4" t="str">
        <f>IF(A80&lt;&gt;"",IF(A80="Unplanned", COUNTA(WorkTable[Planned Order])+1,(ABS((ROW()-1)-B80))),"")</f>
        <v/>
      </c>
      <c r="D80" s="4"/>
    </row>
    <row r="81" spans="1:4" x14ac:dyDescent="0.45">
      <c r="A81" s="4"/>
      <c r="B81" s="4"/>
      <c r="C81" s="4" t="str">
        <f>IF(A81&lt;&gt;"",IF(A81="Unplanned", COUNTA(WorkTable[Planned Order])+1,(ABS((ROW()-1)-B81))),"")</f>
        <v/>
      </c>
      <c r="D81" s="4"/>
    </row>
    <row r="82" spans="1:4" x14ac:dyDescent="0.45">
      <c r="A82" s="4"/>
      <c r="B82" s="4"/>
      <c r="C82" s="4" t="str">
        <f>IF(A82&lt;&gt;"",IF(A82="Unplanned", COUNTA(WorkTable[Planned Order])+1,(ABS((ROW()-1)-B82))),"")</f>
        <v/>
      </c>
      <c r="D82" s="4"/>
    </row>
    <row r="83" spans="1:4" x14ac:dyDescent="0.45">
      <c r="A83" s="4"/>
      <c r="B83" s="4"/>
      <c r="C83" s="4" t="str">
        <f>IF(A83&lt;&gt;"",IF(A83="Unplanned", COUNTA(WorkTable[Planned Order])+1,(ABS((ROW()-1)-B83))),"")</f>
        <v/>
      </c>
      <c r="D83" s="4"/>
    </row>
    <row r="84" spans="1:4" x14ac:dyDescent="0.45">
      <c r="A84" s="4"/>
      <c r="B84" s="4"/>
      <c r="C84" s="4" t="str">
        <f>IF(A84&lt;&gt;"",IF(A84="Unplanned", COUNTA(WorkTable[Planned Order])+1,(ABS((ROW()-1)-B84))),"")</f>
        <v/>
      </c>
      <c r="D84" s="4"/>
    </row>
    <row r="85" spans="1:4" x14ac:dyDescent="0.45">
      <c r="A85" s="4"/>
      <c r="B85" s="4"/>
      <c r="C85" s="4" t="str">
        <f>IF(A85&lt;&gt;"",IF(A85="Unplanned", COUNTA(WorkTable[Planned Order])+1,(ABS((ROW()-1)-B85))),"")</f>
        <v/>
      </c>
      <c r="D85" s="4"/>
    </row>
    <row r="86" spans="1:4" x14ac:dyDescent="0.45">
      <c r="A86" s="4"/>
      <c r="B86" s="4"/>
      <c r="C86" s="4" t="str">
        <f>IF(A86&lt;&gt;"",IF(A86="Unplanned", COUNTA(WorkTable[Planned Order])+1,(ABS((ROW()-1)-B86))),"")</f>
        <v/>
      </c>
      <c r="D86" s="4"/>
    </row>
    <row r="87" spans="1:4" x14ac:dyDescent="0.45">
      <c r="A87" s="4"/>
      <c r="B87" s="4"/>
      <c r="C87" s="4" t="str">
        <f>IF(A87&lt;&gt;"",IF(A87="Unplanned", COUNTA(WorkTable[Planned Order])+1,(ABS((ROW()-1)-B87))),"")</f>
        <v/>
      </c>
      <c r="D87" s="4"/>
    </row>
    <row r="88" spans="1:4" x14ac:dyDescent="0.45">
      <c r="A88" s="4"/>
      <c r="B88" s="4"/>
      <c r="C88" s="4" t="str">
        <f>IF(A88&lt;&gt;"",IF(A88="Unplanned", COUNTA(WorkTable[Planned Order])+1,(ABS((ROW()-1)-B88))),"")</f>
        <v/>
      </c>
      <c r="D88" s="4"/>
    </row>
    <row r="89" spans="1:4" x14ac:dyDescent="0.45">
      <c r="A89" s="4"/>
      <c r="B89" s="4"/>
      <c r="C89" s="4" t="str">
        <f>IF(A89&lt;&gt;"",IF(A89="Unplanned", COUNTA(WorkTable[Planned Order])+1,(ABS((ROW()-1)-B89))),"")</f>
        <v/>
      </c>
      <c r="D89" s="4"/>
    </row>
    <row r="90" spans="1:4" x14ac:dyDescent="0.45">
      <c r="A90" s="4"/>
      <c r="B90" s="4"/>
      <c r="C90" s="4" t="str">
        <f>IF(A90&lt;&gt;"",IF(A90="Unplanned", COUNTA(WorkTable[Planned Order])+1,(ABS((ROW()-1)-B90))),"")</f>
        <v/>
      </c>
      <c r="D90" s="4"/>
    </row>
    <row r="91" spans="1:4" x14ac:dyDescent="0.45">
      <c r="A91" s="4"/>
      <c r="B91" s="4"/>
      <c r="C91" s="4" t="str">
        <f>IF(A91&lt;&gt;"",IF(A91="Unplanned", COUNTA(WorkTable[Planned Order])+1,(ABS((ROW()-1)-B91))),"")</f>
        <v/>
      </c>
      <c r="D91" s="4"/>
    </row>
    <row r="92" spans="1:4" x14ac:dyDescent="0.45">
      <c r="A92" s="4"/>
      <c r="B92" s="4"/>
      <c r="C92" s="4" t="str">
        <f>IF(A92&lt;&gt;"",IF(A92="Unplanned", COUNTA(WorkTable[Planned Order])+1,(ABS((ROW()-1)-B92))),"")</f>
        <v/>
      </c>
      <c r="D92" s="4"/>
    </row>
    <row r="93" spans="1:4" x14ac:dyDescent="0.45">
      <c r="A93" s="4"/>
      <c r="B93" s="4"/>
      <c r="C93" s="4" t="str">
        <f>IF(A93&lt;&gt;"",IF(A93="Unplanned", COUNTA(WorkTable[Planned Order])+1,(ABS((ROW()-1)-B93))),"")</f>
        <v/>
      </c>
      <c r="D93" s="4"/>
    </row>
    <row r="94" spans="1:4" x14ac:dyDescent="0.45">
      <c r="A94" s="4"/>
      <c r="B94" s="4"/>
      <c r="C94" s="4" t="str">
        <f>IF(A94&lt;&gt;"",IF(A94="Unplanned", COUNTA(WorkTable[Planned Order])+1,(ABS((ROW()-1)-B94))),"")</f>
        <v/>
      </c>
      <c r="D94" s="4"/>
    </row>
    <row r="95" spans="1:4" x14ac:dyDescent="0.45">
      <c r="A95" s="4"/>
      <c r="B95" s="4"/>
      <c r="C95" s="4" t="str">
        <f>IF(A95&lt;&gt;"",IF(A95="Unplanned", COUNTA(WorkTable[Planned Order])+1,(ABS((ROW()-1)-B95))),"")</f>
        <v/>
      </c>
      <c r="D95" s="4"/>
    </row>
    <row r="96" spans="1:4" x14ac:dyDescent="0.45">
      <c r="A96" s="4"/>
      <c r="B96" s="4"/>
      <c r="C96" s="4" t="str">
        <f>IF(A96&lt;&gt;"",IF(A96="Unplanned", COUNTA(WorkTable[Planned Order])+1,(ABS((ROW()-1)-B96))),"")</f>
        <v/>
      </c>
      <c r="D96" s="4"/>
    </row>
    <row r="97" spans="1:4" x14ac:dyDescent="0.45">
      <c r="A97" s="4"/>
      <c r="B97" s="4"/>
      <c r="C97" s="4" t="str">
        <f>IF(A97&lt;&gt;"",IF(A97="Unplanned", COUNTA(WorkTable[Planned Order])+1,(ABS((ROW()-1)-B97))),"")</f>
        <v/>
      </c>
      <c r="D97" s="4"/>
    </row>
    <row r="98" spans="1:4" x14ac:dyDescent="0.45">
      <c r="A98" s="4"/>
      <c r="B98" s="4"/>
      <c r="C98" s="4" t="str">
        <f>IF(A98&lt;&gt;"",IF(A98="Unplanned", COUNTA(WorkTable[Planned Order])+1,(ABS((ROW()-1)-B98))),"")</f>
        <v/>
      </c>
      <c r="D98" s="4"/>
    </row>
    <row r="99" spans="1:4" x14ac:dyDescent="0.45">
      <c r="A99" s="4"/>
      <c r="B99" s="4"/>
      <c r="C99" s="4" t="str">
        <f>IF(A99&lt;&gt;"",IF(A99="Unplanned", COUNTA(WorkTable[Planned Order])+1,(ABS((ROW()-1)-B99))),"")</f>
        <v/>
      </c>
      <c r="D99" s="4"/>
    </row>
    <row r="100" spans="1:4" x14ac:dyDescent="0.45">
      <c r="A100" s="4"/>
      <c r="B100" s="4"/>
      <c r="C100" s="4" t="str">
        <f>IF(A100&lt;&gt;"",IF(A100="Unplanned", COUNTA(WorkTable[Planned Order])+1,(ABS((ROW()-1)-B100))),"")</f>
        <v/>
      </c>
      <c r="D100" s="4"/>
    </row>
    <row r="101" spans="1:4" x14ac:dyDescent="0.45">
      <c r="A101" s="4"/>
      <c r="B101" s="4"/>
      <c r="C101" s="4" t="str">
        <f>IF(A101&lt;&gt;"",IF(A101="Unplanned", COUNTA(WorkTable[Planned Order])+1,(ABS((ROW()-1)-B101))),"")</f>
        <v/>
      </c>
      <c r="D101"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D0E5-B8F4-4CEB-9E85-7C3FE0F799B4}">
  <sheetPr>
    <tabColor theme="6"/>
  </sheetPr>
  <dimension ref="J1:T12"/>
  <sheetViews>
    <sheetView zoomScale="106" workbookViewId="0">
      <selection activeCell="K12" sqref="K12"/>
    </sheetView>
  </sheetViews>
  <sheetFormatPr defaultRowHeight="14.25" x14ac:dyDescent="0.45"/>
  <cols>
    <col min="1" max="1" width="19.3984375" customWidth="1"/>
  </cols>
  <sheetData>
    <row r="1" spans="10:20" x14ac:dyDescent="0.45">
      <c r="J1" s="5" t="s">
        <v>20</v>
      </c>
      <c r="K1" s="6" t="s">
        <v>24</v>
      </c>
      <c r="M1" s="5" t="s">
        <v>28</v>
      </c>
      <c r="N1" s="6" t="s">
        <v>29</v>
      </c>
      <c r="P1" s="7" t="s">
        <v>28</v>
      </c>
      <c r="Q1" s="6" t="s">
        <v>29</v>
      </c>
    </row>
    <row r="2" spans="10:20" x14ac:dyDescent="0.45">
      <c r="J2" s="8" t="s">
        <v>58</v>
      </c>
      <c r="K2" s="9">
        <v>20</v>
      </c>
      <c r="M2" s="8">
        <f>(($T$3-$T$2)/10)</f>
        <v>9.1</v>
      </c>
      <c r="N2" s="9">
        <f t="shared" ref="N2:N11" si="0">($T$3-$T$2)/10</f>
        <v>9.1</v>
      </c>
      <c r="P2" s="10" t="s">
        <v>25</v>
      </c>
      <c r="Q2" s="11">
        <f>Score</f>
        <v>38</v>
      </c>
      <c r="S2" t="s">
        <v>30</v>
      </c>
      <c r="T2" s="4">
        <f>MinScore</f>
        <v>0</v>
      </c>
    </row>
    <row r="3" spans="10:20" x14ac:dyDescent="0.45">
      <c r="J3" s="8" t="s">
        <v>22</v>
      </c>
      <c r="K3" s="9">
        <v>30</v>
      </c>
      <c r="M3" s="8">
        <f t="shared" ref="M3:M11" si="1">M2+(($T$3-$T$2)/10)</f>
        <v>18.2</v>
      </c>
      <c r="N3" s="9">
        <f t="shared" si="0"/>
        <v>9.1</v>
      </c>
      <c r="P3" s="12" t="s">
        <v>26</v>
      </c>
      <c r="Q3" s="13">
        <v>1</v>
      </c>
      <c r="S3" t="s">
        <v>31</v>
      </c>
      <c r="T3" s="4">
        <f>MaxScore</f>
        <v>91</v>
      </c>
    </row>
    <row r="4" spans="10:20" x14ac:dyDescent="0.45">
      <c r="J4" s="8" t="s">
        <v>32</v>
      </c>
      <c r="K4" s="9">
        <v>30</v>
      </c>
      <c r="M4" s="8">
        <f t="shared" si="1"/>
        <v>27.299999999999997</v>
      </c>
      <c r="N4" s="9">
        <f t="shared" si="0"/>
        <v>9.1</v>
      </c>
      <c r="P4" s="14" t="s">
        <v>27</v>
      </c>
      <c r="Q4" s="15">
        <f>T4</f>
        <v>143</v>
      </c>
      <c r="S4" t="s">
        <v>27</v>
      </c>
      <c r="T4" s="4">
        <f>T3 + (T3 - (Q2+Q3))</f>
        <v>143</v>
      </c>
    </row>
    <row r="5" spans="10:20" x14ac:dyDescent="0.45">
      <c r="J5" s="8" t="s">
        <v>21</v>
      </c>
      <c r="K5" s="9">
        <v>20</v>
      </c>
      <c r="M5" s="8">
        <f t="shared" si="1"/>
        <v>36.4</v>
      </c>
      <c r="N5" s="9">
        <f t="shared" si="0"/>
        <v>9.1</v>
      </c>
    </row>
    <row r="6" spans="10:20" x14ac:dyDescent="0.45">
      <c r="J6" s="8" t="s">
        <v>23</v>
      </c>
      <c r="K6" s="9">
        <f>SUBTOTAL(109,K2:K5)</f>
        <v>100</v>
      </c>
      <c r="M6" s="8">
        <f t="shared" si="1"/>
        <v>45.5</v>
      </c>
      <c r="N6" s="9">
        <f t="shared" si="0"/>
        <v>9.1</v>
      </c>
    </row>
    <row r="7" spans="10:20" x14ac:dyDescent="0.45">
      <c r="M7" s="8">
        <f t="shared" si="1"/>
        <v>54.6</v>
      </c>
      <c r="N7" s="9">
        <f t="shared" si="0"/>
        <v>9.1</v>
      </c>
    </row>
    <row r="8" spans="10:20" x14ac:dyDescent="0.45">
      <c r="M8" s="8">
        <f t="shared" si="1"/>
        <v>63.7</v>
      </c>
      <c r="N8" s="9">
        <f t="shared" si="0"/>
        <v>9.1</v>
      </c>
    </row>
    <row r="9" spans="10:20" x14ac:dyDescent="0.45">
      <c r="M9" s="8">
        <f t="shared" si="1"/>
        <v>72.8</v>
      </c>
      <c r="N9" s="9">
        <f t="shared" si="0"/>
        <v>9.1</v>
      </c>
    </row>
    <row r="10" spans="10:20" x14ac:dyDescent="0.45">
      <c r="M10" s="8">
        <f t="shared" si="1"/>
        <v>81.899999999999991</v>
      </c>
      <c r="N10" s="9">
        <f t="shared" si="0"/>
        <v>9.1</v>
      </c>
    </row>
    <row r="11" spans="10:20" x14ac:dyDescent="0.45">
      <c r="M11" s="8">
        <f t="shared" si="1"/>
        <v>90.999999999999986</v>
      </c>
      <c r="N11" s="9">
        <f t="shared" si="0"/>
        <v>9.1</v>
      </c>
    </row>
    <row r="12" spans="10:20" x14ac:dyDescent="0.45">
      <c r="M12" s="8" t="s">
        <v>23</v>
      </c>
      <c r="N12" s="9">
        <f>SUBTOTAL(109,$N$2:$N$11)</f>
        <v>90.999999999999986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Work</vt:lpstr>
      <vt:lpstr>About me (more stuff like this)</vt:lpstr>
      <vt:lpstr>Calculations</vt:lpstr>
      <vt:lpstr>Speedometer chart calcs</vt:lpstr>
      <vt:lpstr>MaxScore</vt:lpstr>
      <vt:lpstr>MinScore</vt:lpstr>
      <vt:lpstr>PlannedDeliveredCount</vt:lpstr>
      <vt:lpstr>PlannedOnlyScore</vt:lpstr>
      <vt:lpstr>Score</vt:lpstr>
      <vt:lpstr>UnplannedDeleivredCount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Troy Magennis</dc:creator>
  <cp:lastModifiedBy>Troy Magennis</cp:lastModifiedBy>
  <dcterms:created xsi:type="dcterms:W3CDTF">2021-08-23T20:09:14Z</dcterms:created>
  <dcterms:modified xsi:type="dcterms:W3CDTF">2023-01-20T18:41:57Z</dcterms:modified>
</cp:coreProperties>
</file>